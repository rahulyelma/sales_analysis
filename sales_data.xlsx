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dmin\Desktop\sales-analysis-dashboard\"/>
    </mc:Choice>
  </mc:AlternateContent>
  <xr:revisionPtr revIDLastSave="0" documentId="8_{6F1B103F-ADFA-4DEB-8161-4D2D831E9487}" xr6:coauthVersionLast="47" xr6:coauthVersionMax="47" xr10:uidLastSave="{00000000-0000-0000-0000-000000000000}"/>
  <bookViews>
    <workbookView xWindow="-120" yWindow="-120" windowWidth="20730" windowHeight="11160" activeTab="1" xr2:uid="{00000000-000D-0000-FFFF-FFFF00000000}"/>
  </bookViews>
  <sheets>
    <sheet name="Detail1" sheetId="3" r:id="rId1"/>
    <sheet name="Sheet2" sheetId="2" r:id="rId2"/>
    <sheet name="Sheet1" sheetId="1"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1" l="1"/>
  <c r="G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alcChain>
</file>

<file path=xl/sharedStrings.xml><?xml version="1.0" encoding="utf-8"?>
<sst xmlns="http://schemas.openxmlformats.org/spreadsheetml/2006/main" count="24" uniqueCount="19">
  <si>
    <t>Date</t>
  </si>
  <si>
    <t>Sales</t>
  </si>
  <si>
    <t>Cost</t>
  </si>
  <si>
    <t>Quantity</t>
  </si>
  <si>
    <t>Selling Price</t>
  </si>
  <si>
    <t>Row Labels</t>
  </si>
  <si>
    <t>Grand Total</t>
  </si>
  <si>
    <t>Jan</t>
  </si>
  <si>
    <t>Feb</t>
  </si>
  <si>
    <t>Mar</t>
  </si>
  <si>
    <t>Apr</t>
  </si>
  <si>
    <t>May</t>
  </si>
  <si>
    <t>Sum of Sales</t>
  </si>
  <si>
    <t>Sum of Quantity</t>
  </si>
  <si>
    <t>Details for Sum of Profit - Months (Date): Jan</t>
  </si>
  <si>
    <t>Profits</t>
  </si>
  <si>
    <t>Sum of Profits</t>
  </si>
  <si>
    <t xml:space="preserve">Profit % </t>
  </si>
  <si>
    <t>Sum of Month wise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</si>
</sst>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0" fontId="1" fillId="0" borderId="0" xfId="0" applyFont="1"/>
    <xf numFmtId="0" fontId="1" fillId="0" borderId="2" xfId="0" applyFont="1" applyBorder="1" applyAlignment="1">
      <alignment horizontal="center" vertical="top"/>
    </xf>
    <xf numFmtId="9" fontId="1" fillId="0" borderId="2" xfId="0" applyNumberFormat="1" applyFont="1" applyBorder="1" applyAlignment="1">
      <alignment horizontal="center" vertical="top"/>
    </xf>
    <xf numFmtId="9"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0" fontId="2" fillId="0" borderId="0" xfId="0" applyNumberFormat="1" applyFont="1"/>
    <xf numFmtId="9" fontId="2" fillId="0" borderId="0" xfId="0" applyNumberFormat="1" applyFont="1"/>
  </cellXfs>
  <cellStyles count="1">
    <cellStyle name="Normal" xfId="0" builtinId="0"/>
  </cellStyles>
  <dxfs count="112">
    <dxf>
      <font>
        <sz val="16"/>
      </font>
    </dxf>
    <dxf>
      <font>
        <sz val="12"/>
      </font>
    </dxf>
    <dxf>
      <font>
        <sz val="16"/>
      </font>
    </dxf>
    <dxf>
      <font>
        <sz val="12"/>
      </font>
    </dxf>
    <dxf>
      <font>
        <sz val="16"/>
      </font>
    </dxf>
    <dxf>
      <font>
        <sz val="12"/>
      </font>
    </dxf>
    <dxf>
      <font>
        <sz val="16"/>
      </font>
    </dxf>
    <dxf>
      <font>
        <sz val="12"/>
      </font>
    </dxf>
    <dxf>
      <font>
        <sz val="16"/>
      </font>
    </dxf>
    <dxf>
      <font>
        <sz val="12"/>
      </font>
    </dxf>
    <dxf>
      <font>
        <sz val="12"/>
      </font>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font>
        <sz val="16"/>
      </font>
    </dxf>
    <dxf>
      <font>
        <sz val="16"/>
      </font>
    </dxf>
    <dxf>
      <font>
        <sz val="16"/>
      </font>
    </dxf>
    <dxf>
      <font>
        <sz val="16"/>
      </font>
    </dxf>
    <dxf>
      <font>
        <sz val="16"/>
      </font>
    </dxf>
    <dxf>
      <font>
        <sz val="16"/>
      </font>
    </dxf>
    <dxf>
      <numFmt numFmtId="13" formatCode="0%"/>
    </dxf>
    <dxf>
      <numFmt numFmtId="13" formatCode="0%"/>
    </dxf>
    <dxf>
      <font>
        <sz val="16"/>
      </font>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[sales_data.xlsx]Sheet2!PivotTable8</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Profits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Jan</c:v>
                </c:pt>
                <c:pt idx="1">
                  <c:v>Feb</c:v>
                </c:pt>
                <c:pt idx="2">
                  <c:v>Mar</c:v>
                </c:pt>
                <c:pt idx="3">
                  <c:v>Apr</c:v>
                </c:pt>
                <c:pt idx="4">
                  <c:v>May</c:v>
                </c:pt>
              </c:strCache>
            </c:strRef>
          </c:cat>
          <c:val>
            <c:numRef>
              <c:f>Sheet2!$B$4:$B$9</c:f>
              <c:numCache>
                <c:formatCode>General</c:formatCode>
                <c:ptCount val="5"/>
                <c:pt idx="0">
                  <c:v>662545</c:v>
                </c:pt>
                <c:pt idx="1">
                  <c:v>559685</c:v>
                </c:pt>
                <c:pt idx="2">
                  <c:v>650674</c:v>
                </c:pt>
                <c:pt idx="3">
                  <c:v>710343</c:v>
                </c:pt>
                <c:pt idx="4">
                  <c:v>688615</c:v>
                </c:pt>
              </c:numCache>
            </c:numRef>
          </c:val>
          <c:extLst>
            <c:ext xmlns:c16="http://schemas.microsoft.com/office/drawing/2014/chart" uri="{C3380CC4-5D6E-409C-BE32-E72D297353CC}">
              <c16:uniqueId val="{00000000-26AF-4640-AD4D-956142CC008C}"/>
            </c:ext>
          </c:extLst>
        </c:ser>
        <c:ser>
          <c:idx val="1"/>
          <c:order val="1"/>
          <c:tx>
            <c:strRef>
              <c:f>Sheet2!$C$3</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Jan</c:v>
                </c:pt>
                <c:pt idx="1">
                  <c:v>Feb</c:v>
                </c:pt>
                <c:pt idx="2">
                  <c:v>Mar</c:v>
                </c:pt>
                <c:pt idx="3">
                  <c:v>Apr</c:v>
                </c:pt>
                <c:pt idx="4">
                  <c:v>May</c:v>
                </c:pt>
              </c:strCache>
            </c:strRef>
          </c:cat>
          <c:val>
            <c:numRef>
              <c:f>Sheet2!$C$4:$C$9</c:f>
              <c:numCache>
                <c:formatCode>General</c:formatCode>
                <c:ptCount val="5"/>
                <c:pt idx="0">
                  <c:v>1223540</c:v>
                </c:pt>
                <c:pt idx="1">
                  <c:v>1009720</c:v>
                </c:pt>
                <c:pt idx="2">
                  <c:v>1193839</c:v>
                </c:pt>
                <c:pt idx="3">
                  <c:v>1269568</c:v>
                </c:pt>
                <c:pt idx="4">
                  <c:v>1174227</c:v>
                </c:pt>
              </c:numCache>
            </c:numRef>
          </c:val>
          <c:extLst>
            <c:ext xmlns:c16="http://schemas.microsoft.com/office/drawing/2014/chart" uri="{C3380CC4-5D6E-409C-BE32-E72D297353CC}">
              <c16:uniqueId val="{00000001-26AF-4640-AD4D-956142CC008C}"/>
            </c:ext>
          </c:extLst>
        </c:ser>
        <c:ser>
          <c:idx val="2"/>
          <c:order val="2"/>
          <c:tx>
            <c:strRef>
              <c:f>Sheet2!$D$3</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Jan</c:v>
                </c:pt>
                <c:pt idx="1">
                  <c:v>Feb</c:v>
                </c:pt>
                <c:pt idx="2">
                  <c:v>Mar</c:v>
                </c:pt>
                <c:pt idx="3">
                  <c:v>Apr</c:v>
                </c:pt>
                <c:pt idx="4">
                  <c:v>May</c:v>
                </c:pt>
              </c:strCache>
            </c:strRef>
          </c:cat>
          <c:val>
            <c:numRef>
              <c:f>Sheet2!$D$4:$D$9</c:f>
              <c:numCache>
                <c:formatCode>General</c:formatCode>
                <c:ptCount val="5"/>
                <c:pt idx="0">
                  <c:v>1647</c:v>
                </c:pt>
                <c:pt idx="1">
                  <c:v>1284</c:v>
                </c:pt>
                <c:pt idx="2">
                  <c:v>1560</c:v>
                </c:pt>
                <c:pt idx="3">
                  <c:v>1585</c:v>
                </c:pt>
                <c:pt idx="4">
                  <c:v>1415</c:v>
                </c:pt>
              </c:numCache>
            </c:numRef>
          </c:val>
          <c:extLst>
            <c:ext xmlns:c16="http://schemas.microsoft.com/office/drawing/2014/chart" uri="{C3380CC4-5D6E-409C-BE32-E72D297353CC}">
              <c16:uniqueId val="{00000002-26AF-4640-AD4D-956142CC008C}"/>
            </c:ext>
          </c:extLst>
        </c:ser>
        <c:ser>
          <c:idx val="3"/>
          <c:order val="3"/>
          <c:tx>
            <c:strRef>
              <c:f>Sheet2!$E$3</c:f>
              <c:strCache>
                <c:ptCount val="1"/>
                <c:pt idx="0">
                  <c:v>Sum of Month wise profit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Jan</c:v>
                </c:pt>
                <c:pt idx="1">
                  <c:v>Feb</c:v>
                </c:pt>
                <c:pt idx="2">
                  <c:v>Mar</c:v>
                </c:pt>
                <c:pt idx="3">
                  <c:v>Apr</c:v>
                </c:pt>
                <c:pt idx="4">
                  <c:v>May</c:v>
                </c:pt>
              </c:strCache>
            </c:strRef>
          </c:cat>
          <c:val>
            <c:numRef>
              <c:f>Sheet2!$E$4:$E$9</c:f>
              <c:numCache>
                <c:formatCode>0%</c:formatCode>
                <c:ptCount val="5"/>
                <c:pt idx="0">
                  <c:v>0.54149843895581673</c:v>
                </c:pt>
                <c:pt idx="1">
                  <c:v>0.55429723091550132</c:v>
                </c:pt>
                <c:pt idx="2">
                  <c:v>0.54502659068768899</c:v>
                </c:pt>
                <c:pt idx="3">
                  <c:v>0.55951552023995565</c:v>
                </c:pt>
                <c:pt idx="4">
                  <c:v>0.58644112254274516</c:v>
                </c:pt>
              </c:numCache>
            </c:numRef>
          </c:val>
          <c:extLst>
            <c:ext xmlns:c16="http://schemas.microsoft.com/office/drawing/2014/chart" uri="{C3380CC4-5D6E-409C-BE32-E72D297353CC}">
              <c16:uniqueId val="{00000003-26AF-4640-AD4D-956142CC008C}"/>
            </c:ext>
          </c:extLst>
        </c:ser>
        <c:dLbls>
          <c:dLblPos val="outEnd"/>
          <c:showLegendKey val="0"/>
          <c:showVal val="1"/>
          <c:showCatName val="0"/>
          <c:showSerName val="0"/>
          <c:showPercent val="0"/>
          <c:showBubbleSize val="0"/>
        </c:dLbls>
        <c:gapWidth val="219"/>
        <c:overlap val="-27"/>
        <c:axId val="411071784"/>
        <c:axId val="411064224"/>
      </c:barChart>
      <c:catAx>
        <c:axId val="411071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64224"/>
        <c:crosses val="autoZero"/>
        <c:auto val="1"/>
        <c:lblAlgn val="ctr"/>
        <c:lblOffset val="100"/>
        <c:noMultiLvlLbl val="0"/>
      </c:catAx>
      <c:valAx>
        <c:axId val="41106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71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1345827</xdr:colOff>
      <xdr:row>5</xdr:row>
      <xdr:rowOff>112619</xdr:rowOff>
    </xdr:from>
    <xdr:to>
      <xdr:col>8</xdr:col>
      <xdr:colOff>257176</xdr:colOff>
      <xdr:row>18</xdr:row>
      <xdr:rowOff>131109</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439702F1-9256-3741-45A2-9FEB9076FBE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954621" y="1098737"/>
              <a:ext cx="1836084" cy="2539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201706</xdr:colOff>
      <xdr:row>10</xdr:row>
      <xdr:rowOff>11766</xdr:rowOff>
    </xdr:from>
    <xdr:to>
      <xdr:col>5</xdr:col>
      <xdr:colOff>683559</xdr:colOff>
      <xdr:row>26</xdr:row>
      <xdr:rowOff>11206</xdr:rowOff>
    </xdr:to>
    <xdr:graphicFrame macro="">
      <xdr:nvGraphicFramePr>
        <xdr:cNvPr id="3" name="Chart 2">
          <a:extLst>
            <a:ext uri="{FF2B5EF4-FFF2-40B4-BE49-F238E27FC236}">
              <a16:creationId xmlns:a16="http://schemas.microsoft.com/office/drawing/2014/main" id="{D05B2341-6BBD-38DD-1C28-E7704C479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8.678324305554" createdVersion="8" refreshedVersion="8" minRefreshableVersion="3" recordCount="151" xr:uid="{963A86C6-8783-4DDE-AD0A-C3E6C9C7AA8E}">
  <cacheSource type="worksheet">
    <worksheetSource ref="A1:G152" sheet="Sheet1"/>
  </cacheSource>
  <cacheFields count="11">
    <cacheField name="Date" numFmtId="14">
      <sharedItems containsSemiMixedTypes="0" containsNonDate="0" containsDate="1" containsString="0" minDate="2025-01-01T00:00:00" maxDate="2025-06-01T00:00:00" count="15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sharedItems>
      <fieldGroup par="8"/>
    </cacheField>
    <cacheField name="Sales" numFmtId="0">
      <sharedItems containsSemiMixedTypes="0" containsString="0" containsNumber="1" containsInteger="1" minValue="804" maxValue="96327"/>
    </cacheField>
    <cacheField name="Cost" numFmtId="0">
      <sharedItems containsSemiMixedTypes="0" containsString="0" containsNumber="1" containsInteger="1" minValue="300" maxValue="399"/>
    </cacheField>
    <cacheField name="Quantity" numFmtId="0">
      <sharedItems containsSemiMixedTypes="0" containsString="0" containsNumber="1" containsInteger="1" minValue="1" maxValue="100"/>
    </cacheField>
    <cacheField name="Selling Price" numFmtId="0">
      <sharedItems containsSemiMixedTypes="0" containsString="0" containsNumber="1" containsInteger="1" minValue="551" maxValue="1000"/>
    </cacheField>
    <cacheField name="Profits" numFmtId="0">
      <sharedItems containsSemiMixedTypes="0" containsString="0" containsNumber="1" containsInteger="1" minValue="398" maxValue="62271"/>
    </cacheField>
    <cacheField name="Profit % " numFmtId="9">
      <sharedItems containsSemiMixedTypes="0" containsString="0" containsNumber="1" minValue="0.30319148936170215" maxValue="0.68056968463886058"/>
    </cacheField>
    <cacheField name="Days (Date)" numFmtId="0" databaseField="0">
      <fieldGroup base="0">
        <rangePr groupBy="days" startDate="2025-01-01T00:00:00" endDate="2025-06-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5"/>
        </groupItems>
      </fieldGroup>
    </cacheField>
    <cacheField name="Months (Date)" numFmtId="0" databaseField="0">
      <fieldGroup base="0">
        <rangePr groupBy="months" startDate="2025-01-01T00:00:00" endDate="2025-06-01T00:00:00"/>
        <groupItems count="14">
          <s v="&lt;01-01-2025"/>
          <s v="Jan"/>
          <s v="Feb"/>
          <s v="Mar"/>
          <s v="Apr"/>
          <s v="May"/>
          <s v="Jun"/>
          <s v="Jul"/>
          <s v="Aug"/>
          <s v="Sep"/>
          <s v="Oct"/>
          <s v="Nov"/>
          <s v="Dec"/>
          <s v="&gt;01-06-2025"/>
        </groupItems>
      </fieldGroup>
    </cacheField>
    <cacheField name="Profit" numFmtId="0" formula="('Selling Price'-Cost) *Quantity" databaseField="0"/>
    <cacheField name="Month wise profit" numFmtId="0" formula="Profits/Sales" databaseField="0"/>
  </cacheFields>
  <extLst>
    <ext xmlns:x14="http://schemas.microsoft.com/office/spreadsheetml/2009/9/main" uri="{725AE2AE-9491-48be-B2B4-4EB974FC3084}">
      <x14:pivotCacheDefinition pivotCacheId="775949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n v="48984"/>
    <n v="322"/>
    <n v="52"/>
    <n v="942"/>
    <n v="32240"/>
    <n v="0.65817409766454349"/>
  </r>
  <r>
    <x v="1"/>
    <n v="70308"/>
    <n v="330"/>
    <n v="93"/>
    <n v="756"/>
    <n v="39618"/>
    <n v="0.56349206349206349"/>
  </r>
  <r>
    <x v="2"/>
    <n v="8460"/>
    <n v="393"/>
    <n v="15"/>
    <n v="564"/>
    <n v="2565"/>
    <n v="0.30319148936170215"/>
  </r>
  <r>
    <x v="3"/>
    <n v="64440"/>
    <n v="341"/>
    <n v="72"/>
    <n v="895"/>
    <n v="39888"/>
    <n v="0.61899441340782124"/>
  </r>
  <r>
    <x v="4"/>
    <n v="36051"/>
    <n v="398"/>
    <n v="61"/>
    <n v="591"/>
    <n v="11773"/>
    <n v="0.32656514382402707"/>
  </r>
  <r>
    <x v="5"/>
    <n v="19509"/>
    <n v="306"/>
    <n v="21"/>
    <n v="929"/>
    <n v="13083"/>
    <n v="0.67061356297093644"/>
  </r>
  <r>
    <x v="6"/>
    <n v="60424"/>
    <n v="315"/>
    <n v="83"/>
    <n v="728"/>
    <n v="34279"/>
    <n v="0.56730769230769229"/>
  </r>
  <r>
    <x v="7"/>
    <n v="53244"/>
    <n v="389"/>
    <n v="87"/>
    <n v="612"/>
    <n v="19401"/>
    <n v="0.36437908496732024"/>
  </r>
  <r>
    <x v="8"/>
    <n v="67575"/>
    <n v="359"/>
    <n v="75"/>
    <n v="901"/>
    <n v="40650"/>
    <n v="0.60155382907880128"/>
  </r>
  <r>
    <x v="9"/>
    <n v="58500"/>
    <n v="301"/>
    <n v="75"/>
    <n v="780"/>
    <n v="35925"/>
    <n v="0.61410256410256414"/>
  </r>
  <r>
    <x v="10"/>
    <n v="69520"/>
    <n v="300"/>
    <n v="88"/>
    <n v="790"/>
    <n v="43120"/>
    <n v="0.620253164556962"/>
  </r>
  <r>
    <x v="11"/>
    <n v="60100"/>
    <n v="347"/>
    <n v="100"/>
    <n v="601"/>
    <n v="25400"/>
    <n v="0.4226289517470882"/>
  </r>
  <r>
    <x v="12"/>
    <n v="15480"/>
    <n v="311"/>
    <n v="24"/>
    <n v="645"/>
    <n v="8016"/>
    <n v="0.51782945736434105"/>
  </r>
  <r>
    <x v="13"/>
    <n v="2811"/>
    <n v="368"/>
    <n v="3"/>
    <n v="937"/>
    <n v="1707"/>
    <n v="0.60725720384204906"/>
  </r>
  <r>
    <x v="14"/>
    <n v="16962"/>
    <n v="336"/>
    <n v="22"/>
    <n v="771"/>
    <n v="9570"/>
    <n v="0.56420233463035019"/>
  </r>
  <r>
    <x v="15"/>
    <n v="50668"/>
    <n v="331"/>
    <n v="53"/>
    <n v="956"/>
    <n v="33125"/>
    <n v="0.65376569037656906"/>
  </r>
  <r>
    <x v="16"/>
    <n v="1560"/>
    <n v="308"/>
    <n v="2"/>
    <n v="780"/>
    <n v="944"/>
    <n v="0.60512820512820509"/>
  </r>
  <r>
    <x v="17"/>
    <n v="69168"/>
    <n v="398"/>
    <n v="88"/>
    <n v="786"/>
    <n v="34144"/>
    <n v="0.49363867684478374"/>
  </r>
  <r>
    <x v="18"/>
    <n v="20760"/>
    <n v="318"/>
    <n v="30"/>
    <n v="692"/>
    <n v="11220"/>
    <n v="0.54046242774566478"/>
  </r>
  <r>
    <x v="19"/>
    <n v="27360"/>
    <n v="347"/>
    <n v="38"/>
    <n v="720"/>
    <n v="14174"/>
    <n v="0.5180555555555556"/>
  </r>
  <r>
    <x v="20"/>
    <n v="1156"/>
    <n v="379"/>
    <n v="2"/>
    <n v="578"/>
    <n v="398"/>
    <n v="0.34429065743944637"/>
  </r>
  <r>
    <x v="21"/>
    <n v="37440"/>
    <n v="302"/>
    <n v="64"/>
    <n v="585"/>
    <n v="18112"/>
    <n v="0.48376068376068376"/>
  </r>
  <r>
    <x v="22"/>
    <n v="33720"/>
    <n v="319"/>
    <n v="60"/>
    <n v="562"/>
    <n v="14580"/>
    <n v="0.43238434163701067"/>
  </r>
  <r>
    <x v="23"/>
    <n v="14889"/>
    <n v="323"/>
    <n v="21"/>
    <n v="709"/>
    <n v="8106"/>
    <n v="0.54442877291960512"/>
  </r>
  <r>
    <x v="24"/>
    <n v="28908"/>
    <n v="353"/>
    <n v="33"/>
    <n v="876"/>
    <n v="17259"/>
    <n v="0.59703196347031962"/>
  </r>
  <r>
    <x v="25"/>
    <n v="55936"/>
    <n v="332"/>
    <n v="76"/>
    <n v="736"/>
    <n v="30704"/>
    <n v="0.54891304347826086"/>
  </r>
  <r>
    <x v="26"/>
    <n v="45936"/>
    <n v="323"/>
    <n v="58"/>
    <n v="792"/>
    <n v="27202"/>
    <n v="0.59217171717171713"/>
  </r>
  <r>
    <x v="27"/>
    <n v="13970"/>
    <n v="374"/>
    <n v="22"/>
    <n v="635"/>
    <n v="5742"/>
    <n v="0.41102362204724407"/>
  </r>
  <r>
    <x v="28"/>
    <n v="74137"/>
    <n v="371"/>
    <n v="89"/>
    <n v="833"/>
    <n v="41118"/>
    <n v="0.55462184873949583"/>
  </r>
  <r>
    <x v="29"/>
    <n v="30135"/>
    <n v="335"/>
    <n v="49"/>
    <n v="615"/>
    <n v="13720"/>
    <n v="0.45528455284552843"/>
  </r>
  <r>
    <x v="30"/>
    <n v="65429"/>
    <n v="337"/>
    <n v="91"/>
    <n v="719"/>
    <n v="34762"/>
    <n v="0.53129346314325454"/>
  </r>
  <r>
    <x v="31"/>
    <n v="35046"/>
    <n v="383"/>
    <n v="59"/>
    <n v="594"/>
    <n v="12449"/>
    <n v="0.35521885521885521"/>
  </r>
  <r>
    <x v="32"/>
    <n v="25662"/>
    <n v="398"/>
    <n v="42"/>
    <n v="611"/>
    <n v="8946"/>
    <n v="0.3486088379705401"/>
  </r>
  <r>
    <x v="33"/>
    <n v="91080"/>
    <n v="388"/>
    <n v="92"/>
    <n v="990"/>
    <n v="55384"/>
    <n v="0.60808080808080811"/>
  </r>
  <r>
    <x v="34"/>
    <n v="40980"/>
    <n v="398"/>
    <n v="60"/>
    <n v="683"/>
    <n v="17100"/>
    <n v="0.41727672035139091"/>
  </r>
  <r>
    <x v="35"/>
    <n v="66640"/>
    <n v="324"/>
    <n v="80"/>
    <n v="833"/>
    <n v="40720"/>
    <n v="0.61104441776710683"/>
  </r>
  <r>
    <x v="36"/>
    <n v="8655"/>
    <n v="392"/>
    <n v="15"/>
    <n v="577"/>
    <n v="2775"/>
    <n v="0.32062391681109187"/>
  </r>
  <r>
    <x v="37"/>
    <n v="40734"/>
    <n v="317"/>
    <n v="62"/>
    <n v="657"/>
    <n v="21080"/>
    <n v="0.51750380517503802"/>
  </r>
  <r>
    <x v="38"/>
    <n v="36766"/>
    <n v="381"/>
    <n v="62"/>
    <n v="593"/>
    <n v="13144"/>
    <n v="0.35750421585160203"/>
  </r>
  <r>
    <x v="39"/>
    <n v="41783"/>
    <n v="365"/>
    <n v="47"/>
    <n v="889"/>
    <n v="24628"/>
    <n v="0.58942632170978626"/>
  </r>
  <r>
    <x v="40"/>
    <n v="51770"/>
    <n v="353"/>
    <n v="62"/>
    <n v="835"/>
    <n v="29884"/>
    <n v="0.57724550898203597"/>
  </r>
  <r>
    <x v="41"/>
    <n v="50745"/>
    <n v="334"/>
    <n v="51"/>
    <n v="995"/>
    <n v="33711"/>
    <n v="0.66432160804020102"/>
  </r>
  <r>
    <x v="42"/>
    <n v="48400"/>
    <n v="379"/>
    <n v="55"/>
    <n v="880"/>
    <n v="27555"/>
    <n v="0.56931818181818183"/>
  </r>
  <r>
    <x v="43"/>
    <n v="43328"/>
    <n v="360"/>
    <n v="64"/>
    <n v="677"/>
    <n v="20288"/>
    <n v="0.46824224519940916"/>
  </r>
  <r>
    <x v="44"/>
    <n v="2691"/>
    <n v="340"/>
    <n v="3"/>
    <n v="897"/>
    <n v="1671"/>
    <n v="0.62095875139353396"/>
  </r>
  <r>
    <x v="45"/>
    <n v="39780"/>
    <n v="399"/>
    <n v="51"/>
    <n v="780"/>
    <n v="19431"/>
    <n v="0.48846153846153845"/>
  </r>
  <r>
    <x v="46"/>
    <n v="5173"/>
    <n v="332"/>
    <n v="7"/>
    <n v="739"/>
    <n v="2849"/>
    <n v="0.55074424898511498"/>
  </r>
  <r>
    <x v="47"/>
    <n v="16254"/>
    <n v="367"/>
    <n v="21"/>
    <n v="774"/>
    <n v="8547"/>
    <n v="0.52583979328165376"/>
  </r>
  <r>
    <x v="48"/>
    <n v="68182"/>
    <n v="332"/>
    <n v="73"/>
    <n v="934"/>
    <n v="43946"/>
    <n v="0.64453961456102782"/>
  </r>
  <r>
    <x v="49"/>
    <n v="36114"/>
    <n v="313"/>
    <n v="39"/>
    <n v="926"/>
    <n v="23907"/>
    <n v="0.66198704103671702"/>
  </r>
  <r>
    <x v="50"/>
    <n v="14976"/>
    <n v="320"/>
    <n v="18"/>
    <n v="832"/>
    <n v="9216"/>
    <n v="0.61538461538461542"/>
  </r>
  <r>
    <x v="51"/>
    <n v="3980"/>
    <n v="347"/>
    <n v="4"/>
    <n v="995"/>
    <n v="2592"/>
    <n v="0.65125628140703518"/>
  </r>
  <r>
    <x v="52"/>
    <n v="59630"/>
    <n v="319"/>
    <n v="89"/>
    <n v="670"/>
    <n v="31239"/>
    <n v="0.5238805970149254"/>
  </r>
  <r>
    <x v="53"/>
    <n v="39900"/>
    <n v="307"/>
    <n v="60"/>
    <n v="665"/>
    <n v="21480"/>
    <n v="0.53834586466165413"/>
  </r>
  <r>
    <x v="54"/>
    <n v="10948"/>
    <n v="306"/>
    <n v="14"/>
    <n v="782"/>
    <n v="6664"/>
    <n v="0.60869565217391308"/>
  </r>
  <r>
    <x v="55"/>
    <n v="7272"/>
    <n v="366"/>
    <n v="9"/>
    <n v="808"/>
    <n v="3978"/>
    <n v="0.54702970297029707"/>
  </r>
  <r>
    <x v="56"/>
    <n v="81720"/>
    <n v="316"/>
    <n v="90"/>
    <n v="908"/>
    <n v="53280"/>
    <n v="0.65198237885462551"/>
  </r>
  <r>
    <x v="57"/>
    <n v="39591"/>
    <n v="332"/>
    <n v="53"/>
    <n v="747"/>
    <n v="21995"/>
    <n v="0.55555555555555558"/>
  </r>
  <r>
    <x v="58"/>
    <n v="1920"/>
    <n v="347"/>
    <n v="2"/>
    <n v="960"/>
    <n v="1226"/>
    <n v="0.63854166666666667"/>
  </r>
  <r>
    <x v="59"/>
    <n v="57624"/>
    <n v="375"/>
    <n v="84"/>
    <n v="686"/>
    <n v="26124"/>
    <n v="0.45335276967930027"/>
  </r>
  <r>
    <x v="60"/>
    <n v="79764"/>
    <n v="358"/>
    <n v="92"/>
    <n v="867"/>
    <n v="46828"/>
    <n v="0.58708189158016144"/>
  </r>
  <r>
    <x v="61"/>
    <n v="42840"/>
    <n v="385"/>
    <n v="60"/>
    <n v="714"/>
    <n v="19740"/>
    <n v="0.46078431372549017"/>
  </r>
  <r>
    <x v="62"/>
    <n v="54954"/>
    <n v="321"/>
    <n v="71"/>
    <n v="774"/>
    <n v="32163"/>
    <n v="0.5852713178294574"/>
  </r>
  <r>
    <x v="63"/>
    <n v="37664"/>
    <n v="329"/>
    <n v="44"/>
    <n v="856"/>
    <n v="23188"/>
    <n v="0.61565420560747663"/>
  </r>
  <r>
    <x v="64"/>
    <n v="6264"/>
    <n v="337"/>
    <n v="8"/>
    <n v="783"/>
    <n v="3568"/>
    <n v="0.56960408684546615"/>
  </r>
  <r>
    <x v="65"/>
    <n v="33887"/>
    <n v="350"/>
    <n v="47"/>
    <n v="721"/>
    <n v="17437"/>
    <n v="0.5145631067961165"/>
  </r>
  <r>
    <x v="66"/>
    <n v="24535"/>
    <n v="353"/>
    <n v="35"/>
    <n v="701"/>
    <n v="12180"/>
    <n v="0.49643366619115548"/>
  </r>
  <r>
    <x v="67"/>
    <n v="67392"/>
    <n v="307"/>
    <n v="78"/>
    <n v="864"/>
    <n v="43446"/>
    <n v="0.64467592592592593"/>
  </r>
  <r>
    <x v="68"/>
    <n v="74763"/>
    <n v="326"/>
    <n v="81"/>
    <n v="923"/>
    <n v="48357"/>
    <n v="0.6468039003250271"/>
  </r>
  <r>
    <x v="69"/>
    <n v="25524"/>
    <n v="326"/>
    <n v="36"/>
    <n v="709"/>
    <n v="13788"/>
    <n v="0.54019746121297607"/>
  </r>
  <r>
    <x v="70"/>
    <n v="32250"/>
    <n v="397"/>
    <n v="50"/>
    <n v="645"/>
    <n v="12400"/>
    <n v="0.38449612403100775"/>
  </r>
  <r>
    <x v="71"/>
    <n v="3128"/>
    <n v="320"/>
    <n v="4"/>
    <n v="782"/>
    <n v="1848"/>
    <n v="0.59079283887468026"/>
  </r>
  <r>
    <x v="72"/>
    <n v="1458"/>
    <n v="329"/>
    <n v="2"/>
    <n v="729"/>
    <n v="800"/>
    <n v="0.54869684499314131"/>
  </r>
  <r>
    <x v="73"/>
    <n v="3972"/>
    <n v="396"/>
    <n v="6"/>
    <n v="662"/>
    <n v="1596"/>
    <n v="0.40181268882175225"/>
  </r>
  <r>
    <x v="74"/>
    <n v="46818"/>
    <n v="327"/>
    <n v="54"/>
    <n v="867"/>
    <n v="29160"/>
    <n v="0.62283737024221453"/>
  </r>
  <r>
    <x v="75"/>
    <n v="3964"/>
    <n v="363"/>
    <n v="4"/>
    <n v="991"/>
    <n v="2512"/>
    <n v="0.63370332996972756"/>
  </r>
  <r>
    <x v="76"/>
    <n v="32454"/>
    <n v="396"/>
    <n v="54"/>
    <n v="601"/>
    <n v="11070"/>
    <n v="0.34109816971713808"/>
  </r>
  <r>
    <x v="77"/>
    <n v="75981"/>
    <n v="368"/>
    <n v="93"/>
    <n v="817"/>
    <n v="41757"/>
    <n v="0.54957160342717259"/>
  </r>
  <r>
    <x v="78"/>
    <n v="53172"/>
    <n v="360"/>
    <n v="63"/>
    <n v="844"/>
    <n v="30492"/>
    <n v="0.57345971563981046"/>
  </r>
  <r>
    <x v="79"/>
    <n v="16830"/>
    <n v="347"/>
    <n v="18"/>
    <n v="935"/>
    <n v="10584"/>
    <n v="0.62887700534759361"/>
  </r>
  <r>
    <x v="80"/>
    <n v="84240"/>
    <n v="318"/>
    <n v="90"/>
    <n v="936"/>
    <n v="55620"/>
    <n v="0.66025641025641024"/>
  </r>
  <r>
    <x v="81"/>
    <n v="29128"/>
    <n v="303"/>
    <n v="44"/>
    <n v="662"/>
    <n v="15796"/>
    <n v="0.54229607250755285"/>
  </r>
  <r>
    <x v="82"/>
    <n v="22100"/>
    <n v="334"/>
    <n v="34"/>
    <n v="650"/>
    <n v="10744"/>
    <n v="0.48615384615384616"/>
  </r>
  <r>
    <x v="83"/>
    <n v="48988"/>
    <n v="363"/>
    <n v="74"/>
    <n v="662"/>
    <n v="22126"/>
    <n v="0.45166163141993959"/>
  </r>
  <r>
    <x v="84"/>
    <n v="61318"/>
    <n v="348"/>
    <n v="62"/>
    <n v="989"/>
    <n v="39742"/>
    <n v="0.64812942366026294"/>
  </r>
  <r>
    <x v="85"/>
    <n v="63000"/>
    <n v="316"/>
    <n v="100"/>
    <n v="630"/>
    <n v="31400"/>
    <n v="0.49841269841269842"/>
  </r>
  <r>
    <x v="86"/>
    <n v="10304"/>
    <n v="343"/>
    <n v="14"/>
    <n v="736"/>
    <n v="5502"/>
    <n v="0.53396739130434778"/>
  </r>
  <r>
    <x v="87"/>
    <n v="62890"/>
    <n v="391"/>
    <n v="95"/>
    <n v="662"/>
    <n v="25745"/>
    <n v="0.40936555891238668"/>
  </r>
  <r>
    <x v="88"/>
    <n v="26448"/>
    <n v="329"/>
    <n v="48"/>
    <n v="551"/>
    <n v="10656"/>
    <n v="0.4029038112522686"/>
  </r>
  <r>
    <x v="89"/>
    <n v="10185"/>
    <n v="392"/>
    <n v="15"/>
    <n v="679"/>
    <n v="4305"/>
    <n v="0.42268041237113402"/>
  </r>
  <r>
    <x v="90"/>
    <n v="55368"/>
    <n v="345"/>
    <n v="72"/>
    <n v="769"/>
    <n v="30528"/>
    <n v="0.55136540962288683"/>
  </r>
  <r>
    <x v="91"/>
    <n v="47034"/>
    <n v="305"/>
    <n v="78"/>
    <n v="603"/>
    <n v="23244"/>
    <n v="0.494195688225539"/>
  </r>
  <r>
    <x v="92"/>
    <n v="77604"/>
    <n v="398"/>
    <n v="87"/>
    <n v="892"/>
    <n v="42978"/>
    <n v="0.55381165919282516"/>
  </r>
  <r>
    <x v="93"/>
    <n v="47926"/>
    <n v="336"/>
    <n v="62"/>
    <n v="773"/>
    <n v="27094"/>
    <n v="0.56532988357050451"/>
  </r>
  <r>
    <x v="94"/>
    <n v="30960"/>
    <n v="323"/>
    <n v="40"/>
    <n v="774"/>
    <n v="18040"/>
    <n v="0.58268733850129195"/>
  </r>
  <r>
    <x v="95"/>
    <n v="79390"/>
    <n v="392"/>
    <n v="85"/>
    <n v="934"/>
    <n v="46070"/>
    <n v="0.58029978586723774"/>
  </r>
  <r>
    <x v="96"/>
    <n v="76160"/>
    <n v="345"/>
    <n v="80"/>
    <n v="952"/>
    <n v="48560"/>
    <n v="0.63760504201680668"/>
  </r>
  <r>
    <x v="97"/>
    <n v="55350"/>
    <n v="352"/>
    <n v="82"/>
    <n v="675"/>
    <n v="26486"/>
    <n v="0.47851851851851851"/>
  </r>
  <r>
    <x v="98"/>
    <n v="35987"/>
    <n v="394"/>
    <n v="53"/>
    <n v="679"/>
    <n v="15105"/>
    <n v="0.41973490427098675"/>
  </r>
  <r>
    <x v="99"/>
    <n v="14448"/>
    <n v="398"/>
    <n v="24"/>
    <n v="602"/>
    <n v="4896"/>
    <n v="0.33887043189368771"/>
  </r>
  <r>
    <x v="100"/>
    <n v="18746"/>
    <n v="359"/>
    <n v="26"/>
    <n v="721"/>
    <n v="9412"/>
    <n v="0.50208044382801664"/>
  </r>
  <r>
    <x v="101"/>
    <n v="68263"/>
    <n v="396"/>
    <n v="89"/>
    <n v="767"/>
    <n v="33019"/>
    <n v="0.48370273794002605"/>
  </r>
  <r>
    <x v="102"/>
    <n v="42540"/>
    <n v="362"/>
    <n v="60"/>
    <n v="709"/>
    <n v="20820"/>
    <n v="0.48942172073342738"/>
  </r>
  <r>
    <x v="103"/>
    <n v="30627"/>
    <n v="384"/>
    <n v="41"/>
    <n v="747"/>
    <n v="14883"/>
    <n v="0.4859437751004016"/>
  </r>
  <r>
    <x v="104"/>
    <n v="27985"/>
    <n v="331"/>
    <n v="29"/>
    <n v="965"/>
    <n v="18386"/>
    <n v="0.6569948186528497"/>
  </r>
  <r>
    <x v="105"/>
    <n v="11940"/>
    <n v="386"/>
    <n v="15"/>
    <n v="796"/>
    <n v="6150"/>
    <n v="0.51507537688442206"/>
  </r>
  <r>
    <x v="106"/>
    <n v="39285"/>
    <n v="332"/>
    <n v="45"/>
    <n v="873"/>
    <n v="24345"/>
    <n v="0.61970217640320735"/>
  </r>
  <r>
    <x v="107"/>
    <n v="64220"/>
    <n v="366"/>
    <n v="65"/>
    <n v="988"/>
    <n v="40430"/>
    <n v="0.62955465587044535"/>
  </r>
  <r>
    <x v="108"/>
    <n v="66928"/>
    <n v="317"/>
    <n v="89"/>
    <n v="752"/>
    <n v="38715"/>
    <n v="0.57845744680851063"/>
  </r>
  <r>
    <x v="109"/>
    <n v="52043"/>
    <n v="324"/>
    <n v="71"/>
    <n v="733"/>
    <n v="29039"/>
    <n v="0.55798090040927695"/>
  </r>
  <r>
    <x v="110"/>
    <n v="6048"/>
    <n v="394"/>
    <n v="9"/>
    <n v="672"/>
    <n v="2502"/>
    <n v="0.41369047619047616"/>
  </r>
  <r>
    <x v="111"/>
    <n v="83600"/>
    <n v="353"/>
    <n v="88"/>
    <n v="950"/>
    <n v="52536"/>
    <n v="0.62842105263157899"/>
  </r>
  <r>
    <x v="112"/>
    <n v="804"/>
    <n v="357"/>
    <n v="1"/>
    <n v="804"/>
    <n v="447"/>
    <n v="0.55597014925373134"/>
  </r>
  <r>
    <x v="113"/>
    <n v="6744"/>
    <n v="366"/>
    <n v="8"/>
    <n v="843"/>
    <n v="3816"/>
    <n v="0.5658362989323843"/>
  </r>
  <r>
    <x v="114"/>
    <n v="72952"/>
    <n v="345"/>
    <n v="88"/>
    <n v="829"/>
    <n v="42592"/>
    <n v="0.58383594692400487"/>
  </r>
  <r>
    <x v="115"/>
    <n v="55062"/>
    <n v="323"/>
    <n v="63"/>
    <n v="874"/>
    <n v="34713"/>
    <n v="0.63043478260869568"/>
  </r>
  <r>
    <x v="116"/>
    <n v="10131"/>
    <n v="331"/>
    <n v="11"/>
    <n v="921"/>
    <n v="6490"/>
    <n v="0.64060803474484251"/>
  </r>
  <r>
    <x v="117"/>
    <n v="52407"/>
    <n v="346"/>
    <n v="81"/>
    <n v="647"/>
    <n v="24381"/>
    <n v="0.46522411128284391"/>
  </r>
  <r>
    <x v="118"/>
    <n v="5976"/>
    <n v="385"/>
    <n v="8"/>
    <n v="747"/>
    <n v="2896"/>
    <n v="0.48460508701472554"/>
  </r>
  <r>
    <x v="119"/>
    <n v="33040"/>
    <n v="322"/>
    <n v="35"/>
    <n v="944"/>
    <n v="21770"/>
    <n v="0.65889830508474578"/>
  </r>
  <r>
    <x v="120"/>
    <n v="27615"/>
    <n v="365"/>
    <n v="35"/>
    <n v="789"/>
    <n v="14840"/>
    <n v="0.53738910012674268"/>
  </r>
  <r>
    <x v="121"/>
    <n v="22869"/>
    <n v="326"/>
    <n v="33"/>
    <n v="693"/>
    <n v="12111"/>
    <n v="0.5295815295815296"/>
  </r>
  <r>
    <x v="122"/>
    <n v="3230"/>
    <n v="301"/>
    <n v="5"/>
    <n v="646"/>
    <n v="1725"/>
    <n v="0.53405572755417952"/>
  </r>
  <r>
    <x v="123"/>
    <n v="30750"/>
    <n v="389"/>
    <n v="41"/>
    <n v="750"/>
    <n v="14801"/>
    <n v="0.48133333333333334"/>
  </r>
  <r>
    <x v="124"/>
    <n v="18844"/>
    <n v="316"/>
    <n v="28"/>
    <n v="673"/>
    <n v="9996"/>
    <n v="0.53046062407132244"/>
  </r>
  <r>
    <x v="125"/>
    <n v="5152"/>
    <n v="332"/>
    <n v="7"/>
    <n v="736"/>
    <n v="2828"/>
    <n v="0.54891304347826086"/>
  </r>
  <r>
    <x v="126"/>
    <n v="63875"/>
    <n v="308"/>
    <n v="73"/>
    <n v="875"/>
    <n v="41391"/>
    <n v="0.64800000000000002"/>
  </r>
  <r>
    <x v="127"/>
    <n v="64656"/>
    <n v="342"/>
    <n v="72"/>
    <n v="898"/>
    <n v="40032"/>
    <n v="0.61915367483296213"/>
  </r>
  <r>
    <x v="128"/>
    <n v="9696"/>
    <n v="347"/>
    <n v="12"/>
    <n v="808"/>
    <n v="5532"/>
    <n v="0.5705445544554455"/>
  </r>
  <r>
    <x v="129"/>
    <n v="23698"/>
    <n v="338"/>
    <n v="34"/>
    <n v="697"/>
    <n v="12206"/>
    <n v="0.51506456241032994"/>
  </r>
  <r>
    <x v="130"/>
    <n v="26433"/>
    <n v="392"/>
    <n v="33"/>
    <n v="801"/>
    <n v="13497"/>
    <n v="0.51061173533083648"/>
  </r>
  <r>
    <x v="131"/>
    <n v="47616"/>
    <n v="341"/>
    <n v="48"/>
    <n v="992"/>
    <n v="31248"/>
    <n v="0.65625"/>
  </r>
  <r>
    <x v="132"/>
    <n v="22287"/>
    <n v="325"/>
    <n v="23"/>
    <n v="969"/>
    <n v="14812"/>
    <n v="0.66460268317853455"/>
  </r>
  <r>
    <x v="133"/>
    <n v="59024"/>
    <n v="398"/>
    <n v="62"/>
    <n v="952"/>
    <n v="34348"/>
    <n v="0.58193277310924374"/>
  </r>
  <r>
    <x v="134"/>
    <n v="78760"/>
    <n v="349"/>
    <n v="88"/>
    <n v="895"/>
    <n v="48048"/>
    <n v="0.61005586592178773"/>
  </r>
  <r>
    <x v="135"/>
    <n v="37000"/>
    <n v="324"/>
    <n v="37"/>
    <n v="1000"/>
    <n v="25012"/>
    <n v="0.67600000000000005"/>
  </r>
  <r>
    <x v="136"/>
    <n v="68904"/>
    <n v="323"/>
    <n v="99"/>
    <n v="696"/>
    <n v="36927"/>
    <n v="0.53591954022988508"/>
  </r>
  <r>
    <x v="137"/>
    <n v="30668"/>
    <n v="312"/>
    <n v="44"/>
    <n v="697"/>
    <n v="16940"/>
    <n v="0.55236728837876614"/>
  </r>
  <r>
    <x v="138"/>
    <n v="77486"/>
    <n v="359"/>
    <n v="86"/>
    <n v="901"/>
    <n v="46612"/>
    <n v="0.60155382907880128"/>
  </r>
  <r>
    <x v="139"/>
    <n v="68068"/>
    <n v="306"/>
    <n v="91"/>
    <n v="748"/>
    <n v="40222"/>
    <n v="0.59090909090909094"/>
  </r>
  <r>
    <x v="140"/>
    <n v="29995"/>
    <n v="356"/>
    <n v="35"/>
    <n v="857"/>
    <n v="17535"/>
    <n v="0.58459743290548427"/>
  </r>
  <r>
    <x v="141"/>
    <n v="62790"/>
    <n v="335"/>
    <n v="65"/>
    <n v="966"/>
    <n v="41015"/>
    <n v="0.65320910973084889"/>
  </r>
  <r>
    <x v="142"/>
    <n v="96327"/>
    <n v="344"/>
    <n v="99"/>
    <n v="973"/>
    <n v="62271"/>
    <n v="0.64645426515930116"/>
  </r>
  <r>
    <x v="143"/>
    <n v="31819"/>
    <n v="319"/>
    <n v="47"/>
    <n v="677"/>
    <n v="16826"/>
    <n v="0.52880354505169869"/>
  </r>
  <r>
    <x v="144"/>
    <n v="45864"/>
    <n v="364"/>
    <n v="78"/>
    <n v="588"/>
    <n v="17472"/>
    <n v="0.38095238095238093"/>
  </r>
  <r>
    <x v="145"/>
    <n v="2661"/>
    <n v="307"/>
    <n v="3"/>
    <n v="887"/>
    <n v="1740"/>
    <n v="0.65388951521984218"/>
  </r>
  <r>
    <x v="146"/>
    <n v="909"/>
    <n v="315"/>
    <n v="1"/>
    <n v="909"/>
    <n v="594"/>
    <n v="0.65346534653465349"/>
  </r>
  <r>
    <x v="147"/>
    <n v="3390"/>
    <n v="313"/>
    <n v="5"/>
    <n v="678"/>
    <n v="1825"/>
    <n v="0.53834808259587019"/>
  </r>
  <r>
    <x v="148"/>
    <n v="73440"/>
    <n v="375"/>
    <n v="90"/>
    <n v="816"/>
    <n v="39690"/>
    <n v="0.5404411764705882"/>
  </r>
  <r>
    <x v="149"/>
    <n v="13860"/>
    <n v="386"/>
    <n v="14"/>
    <n v="990"/>
    <n v="8456"/>
    <n v="0.61010101010101014"/>
  </r>
  <r>
    <x v="150"/>
    <n v="26541"/>
    <n v="314"/>
    <n v="27"/>
    <n v="983"/>
    <n v="18063"/>
    <n v="0.680569684638860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F4B7E-239C-4056-ABAE-1AC4323060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0" firstDataRow="1" firstDataCol="1"/>
  <pivotFields count="11">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dataField="1" showAll="0"/>
    <pivotField showAll="0"/>
    <pivotField dataField="1" showAll="0"/>
    <pivotField showAll="0"/>
    <pivotField dataField="1"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ataField="1" dragToRow="0" dragToCol="0" dragToPage="0" showAll="0" defaultSubtotal="0"/>
  </pivotFields>
  <rowFields count="2">
    <field x="8"/>
    <field x="7"/>
  </rowFields>
  <rowItems count="6">
    <i>
      <x v="1"/>
    </i>
    <i>
      <x v="2"/>
    </i>
    <i>
      <x v="3"/>
    </i>
    <i>
      <x v="4"/>
    </i>
    <i>
      <x v="5"/>
    </i>
    <i t="grand">
      <x/>
    </i>
  </rowItems>
  <colFields count="1">
    <field x="-2"/>
  </colFields>
  <colItems count="4">
    <i>
      <x/>
    </i>
    <i i="1">
      <x v="1"/>
    </i>
    <i i="2">
      <x v="2"/>
    </i>
    <i i="3">
      <x v="3"/>
    </i>
  </colItems>
  <dataFields count="4">
    <dataField name="Sum of Profits" fld="5" baseField="0" baseItem="0"/>
    <dataField name="Sum of Sales" fld="1" baseField="0" baseItem="0"/>
    <dataField name="Sum of Quantity" fld="3" baseField="0" baseItem="0"/>
    <dataField name="Sum of Month wise profit" fld="10" baseField="0" baseItem="0" numFmtId="9"/>
  </dataFields>
  <formats count="8">
    <format dxfId="110">
      <pivotArea type="all" dataOnly="0" outline="0" fieldPosition="0"/>
    </format>
    <format dxfId="109">
      <pivotArea outline="0" collapsedLevelsAreSubtotals="1" fieldPosition="0">
        <references count="1">
          <reference field="4294967294" count="1" selected="0">
            <x v="3"/>
          </reference>
        </references>
      </pivotArea>
    </format>
    <format dxfId="10">
      <pivotArea type="all" dataOnly="0" outline="0" fieldPosition="0"/>
    </format>
    <format dxfId="9">
      <pivotArea outline="0" collapsedLevelsAreSubtotals="1" fieldPosition="0"/>
    </format>
    <format dxfId="7">
      <pivotArea field="8" type="button" dataOnly="0" labelOnly="1" outline="0" axis="axisRow" fieldPosition="0"/>
    </format>
    <format dxfId="5">
      <pivotArea dataOnly="0" labelOnly="1" fieldPosition="0">
        <references count="1">
          <reference field="8" count="5">
            <x v="1"/>
            <x v="2"/>
            <x v="3"/>
            <x v="4"/>
            <x v="5"/>
          </reference>
        </references>
      </pivotArea>
    </format>
    <format dxfId="3">
      <pivotArea dataOnly="0" labelOnly="1" grandRow="1" outline="0" fieldPosition="0"/>
    </format>
    <format dxfId="1">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443A566-B90E-4E76-85F9-216F28310F5F}" sourceName="Months (Date)">
  <pivotTables>
    <pivotTable tabId="2" name="PivotTable8"/>
  </pivotTables>
  <data>
    <tabular pivotCacheId="775949905">
      <items count="14">
        <i x="1" s="1"/>
        <i x="2" s="1"/>
        <i x="3" s="1"/>
        <i x="4" s="1"/>
        <i x="5" s="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C98F84F-A14E-42F8-8E79-72B758D27FCD}"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9ACCC-10D3-413C-A087-F393EBD3DD01}" name="Table1" displayName="Table1" ref="A3:E34" totalsRowShown="0">
  <autoFilter ref="A3:E34" xr:uid="{5D39ACCC-10D3-413C-A087-F393EBD3DD01}"/>
  <tableColumns count="5">
    <tableColumn id="1" xr3:uid="{3A8988CC-9946-4ACA-910C-611BF327D5F6}" name="Date" dataDxfId="111"/>
    <tableColumn id="2" xr3:uid="{D3AD2833-67C3-495E-9965-5E71567DB75F}" name="Sales"/>
    <tableColumn id="3" xr3:uid="{0F08CB7C-3617-485A-94CB-F5FBD819CC6D}" name="Cost"/>
    <tableColumn id="4" xr3:uid="{0F712901-0924-490F-B0CB-4255BC34826F}" name="Quantity"/>
    <tableColumn id="5" xr3:uid="{F1F018E3-0F0C-4094-9C7B-28C72D00B23D}" name="Selling 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0FB2-2AA5-49FB-860F-1DD102522269}">
  <dimension ref="A1:E34"/>
  <sheetViews>
    <sheetView workbookViewId="0">
      <selection activeCell="F14" sqref="F14"/>
    </sheetView>
  </sheetViews>
  <sheetFormatPr defaultRowHeight="15" x14ac:dyDescent="0.25"/>
  <cols>
    <col min="1" max="1" width="10.42578125" bestFit="1" customWidth="1"/>
    <col min="2" max="3" width="9.28515625" bestFit="1" customWidth="1"/>
    <col min="4" max="4" width="11" bestFit="1" customWidth="1"/>
    <col min="5" max="5" width="14.140625" bestFit="1" customWidth="1"/>
  </cols>
  <sheetData>
    <row r="1" spans="1:5" x14ac:dyDescent="0.25">
      <c r="A1" s="4" t="s">
        <v>14</v>
      </c>
    </row>
    <row r="3" spans="1:5" x14ac:dyDescent="0.25">
      <c r="A3" t="s">
        <v>0</v>
      </c>
      <c r="B3" t="s">
        <v>1</v>
      </c>
      <c r="C3" t="s">
        <v>2</v>
      </c>
      <c r="D3" t="s">
        <v>3</v>
      </c>
      <c r="E3" t="s">
        <v>4</v>
      </c>
    </row>
    <row r="4" spans="1:5" x14ac:dyDescent="0.25">
      <c r="A4" s="2">
        <v>45658</v>
      </c>
      <c r="B4">
        <v>48984</v>
      </c>
      <c r="C4">
        <v>322</v>
      </c>
      <c r="D4">
        <v>52</v>
      </c>
      <c r="E4">
        <v>942</v>
      </c>
    </row>
    <row r="5" spans="1:5" x14ac:dyDescent="0.25">
      <c r="A5" s="2">
        <v>45659</v>
      </c>
      <c r="B5">
        <v>70308</v>
      </c>
      <c r="C5">
        <v>330</v>
      </c>
      <c r="D5">
        <v>93</v>
      </c>
      <c r="E5">
        <v>756</v>
      </c>
    </row>
    <row r="6" spans="1:5" x14ac:dyDescent="0.25">
      <c r="A6" s="2">
        <v>45660</v>
      </c>
      <c r="B6">
        <v>8460</v>
      </c>
      <c r="C6">
        <v>393</v>
      </c>
      <c r="D6">
        <v>15</v>
      </c>
      <c r="E6">
        <v>564</v>
      </c>
    </row>
    <row r="7" spans="1:5" x14ac:dyDescent="0.25">
      <c r="A7" s="2">
        <v>45661</v>
      </c>
      <c r="B7">
        <v>64440</v>
      </c>
      <c r="C7">
        <v>341</v>
      </c>
      <c r="D7">
        <v>72</v>
      </c>
      <c r="E7">
        <v>895</v>
      </c>
    </row>
    <row r="8" spans="1:5" x14ac:dyDescent="0.25">
      <c r="A8" s="2">
        <v>45662</v>
      </c>
      <c r="B8">
        <v>36051</v>
      </c>
      <c r="C8">
        <v>398</v>
      </c>
      <c r="D8">
        <v>61</v>
      </c>
      <c r="E8">
        <v>591</v>
      </c>
    </row>
    <row r="9" spans="1:5" x14ac:dyDescent="0.25">
      <c r="A9" s="2">
        <v>45663</v>
      </c>
      <c r="B9">
        <v>19509</v>
      </c>
      <c r="C9">
        <v>306</v>
      </c>
      <c r="D9">
        <v>21</v>
      </c>
      <c r="E9">
        <v>929</v>
      </c>
    </row>
    <row r="10" spans="1:5" x14ac:dyDescent="0.25">
      <c r="A10" s="2">
        <v>45664</v>
      </c>
      <c r="B10">
        <v>60424</v>
      </c>
      <c r="C10">
        <v>315</v>
      </c>
      <c r="D10">
        <v>83</v>
      </c>
      <c r="E10">
        <v>728</v>
      </c>
    </row>
    <row r="11" spans="1:5" x14ac:dyDescent="0.25">
      <c r="A11" s="2">
        <v>45665</v>
      </c>
      <c r="B11">
        <v>53244</v>
      </c>
      <c r="C11">
        <v>389</v>
      </c>
      <c r="D11">
        <v>87</v>
      </c>
      <c r="E11">
        <v>612</v>
      </c>
    </row>
    <row r="12" spans="1:5" x14ac:dyDescent="0.25">
      <c r="A12" s="2">
        <v>45666</v>
      </c>
      <c r="B12">
        <v>67575</v>
      </c>
      <c r="C12">
        <v>359</v>
      </c>
      <c r="D12">
        <v>75</v>
      </c>
      <c r="E12">
        <v>901</v>
      </c>
    </row>
    <row r="13" spans="1:5" x14ac:dyDescent="0.25">
      <c r="A13" s="2">
        <v>45667</v>
      </c>
      <c r="B13">
        <v>58500</v>
      </c>
      <c r="C13">
        <v>301</v>
      </c>
      <c r="D13">
        <v>75</v>
      </c>
      <c r="E13">
        <v>780</v>
      </c>
    </row>
    <row r="14" spans="1:5" x14ac:dyDescent="0.25">
      <c r="A14" s="2">
        <v>45668</v>
      </c>
      <c r="B14">
        <v>69520</v>
      </c>
      <c r="C14">
        <v>300</v>
      </c>
      <c r="D14">
        <v>88</v>
      </c>
      <c r="E14">
        <v>790</v>
      </c>
    </row>
    <row r="15" spans="1:5" x14ac:dyDescent="0.25">
      <c r="A15" s="2">
        <v>45669</v>
      </c>
      <c r="B15">
        <v>60100</v>
      </c>
      <c r="C15">
        <v>347</v>
      </c>
      <c r="D15">
        <v>100</v>
      </c>
      <c r="E15">
        <v>601</v>
      </c>
    </row>
    <row r="16" spans="1:5" x14ac:dyDescent="0.25">
      <c r="A16" s="2">
        <v>45670</v>
      </c>
      <c r="B16">
        <v>15480</v>
      </c>
      <c r="C16">
        <v>311</v>
      </c>
      <c r="D16">
        <v>24</v>
      </c>
      <c r="E16">
        <v>645</v>
      </c>
    </row>
    <row r="17" spans="1:5" x14ac:dyDescent="0.25">
      <c r="A17" s="2">
        <v>45671</v>
      </c>
      <c r="B17">
        <v>2811</v>
      </c>
      <c r="C17">
        <v>368</v>
      </c>
      <c r="D17">
        <v>3</v>
      </c>
      <c r="E17">
        <v>937</v>
      </c>
    </row>
    <row r="18" spans="1:5" x14ac:dyDescent="0.25">
      <c r="A18" s="2">
        <v>45672</v>
      </c>
      <c r="B18">
        <v>16962</v>
      </c>
      <c r="C18">
        <v>336</v>
      </c>
      <c r="D18">
        <v>22</v>
      </c>
      <c r="E18">
        <v>771</v>
      </c>
    </row>
    <row r="19" spans="1:5" x14ac:dyDescent="0.25">
      <c r="A19" s="2">
        <v>45673</v>
      </c>
      <c r="B19">
        <v>50668</v>
      </c>
      <c r="C19">
        <v>331</v>
      </c>
      <c r="D19">
        <v>53</v>
      </c>
      <c r="E19">
        <v>956</v>
      </c>
    </row>
    <row r="20" spans="1:5" x14ac:dyDescent="0.25">
      <c r="A20" s="2">
        <v>45674</v>
      </c>
      <c r="B20">
        <v>1560</v>
      </c>
      <c r="C20">
        <v>308</v>
      </c>
      <c r="D20">
        <v>2</v>
      </c>
      <c r="E20">
        <v>780</v>
      </c>
    </row>
    <row r="21" spans="1:5" x14ac:dyDescent="0.25">
      <c r="A21" s="2">
        <v>45675</v>
      </c>
      <c r="B21">
        <v>69168</v>
      </c>
      <c r="C21">
        <v>398</v>
      </c>
      <c r="D21">
        <v>88</v>
      </c>
      <c r="E21">
        <v>786</v>
      </c>
    </row>
    <row r="22" spans="1:5" x14ac:dyDescent="0.25">
      <c r="A22" s="2">
        <v>45676</v>
      </c>
      <c r="B22">
        <v>20760</v>
      </c>
      <c r="C22">
        <v>318</v>
      </c>
      <c r="D22">
        <v>30</v>
      </c>
      <c r="E22">
        <v>692</v>
      </c>
    </row>
    <row r="23" spans="1:5" x14ac:dyDescent="0.25">
      <c r="A23" s="2">
        <v>45677</v>
      </c>
      <c r="B23">
        <v>27360</v>
      </c>
      <c r="C23">
        <v>347</v>
      </c>
      <c r="D23">
        <v>38</v>
      </c>
      <c r="E23">
        <v>720</v>
      </c>
    </row>
    <row r="24" spans="1:5" x14ac:dyDescent="0.25">
      <c r="A24" s="2">
        <v>45678</v>
      </c>
      <c r="B24">
        <v>1156</v>
      </c>
      <c r="C24">
        <v>379</v>
      </c>
      <c r="D24">
        <v>2</v>
      </c>
      <c r="E24">
        <v>578</v>
      </c>
    </row>
    <row r="25" spans="1:5" x14ac:dyDescent="0.25">
      <c r="A25" s="2">
        <v>45679</v>
      </c>
      <c r="B25">
        <v>37440</v>
      </c>
      <c r="C25">
        <v>302</v>
      </c>
      <c r="D25">
        <v>64</v>
      </c>
      <c r="E25">
        <v>585</v>
      </c>
    </row>
    <row r="26" spans="1:5" x14ac:dyDescent="0.25">
      <c r="A26" s="2">
        <v>45680</v>
      </c>
      <c r="B26">
        <v>33720</v>
      </c>
      <c r="C26">
        <v>319</v>
      </c>
      <c r="D26">
        <v>60</v>
      </c>
      <c r="E26">
        <v>562</v>
      </c>
    </row>
    <row r="27" spans="1:5" x14ac:dyDescent="0.25">
      <c r="A27" s="2">
        <v>45681</v>
      </c>
      <c r="B27">
        <v>14889</v>
      </c>
      <c r="C27">
        <v>323</v>
      </c>
      <c r="D27">
        <v>21</v>
      </c>
      <c r="E27">
        <v>709</v>
      </c>
    </row>
    <row r="28" spans="1:5" x14ac:dyDescent="0.25">
      <c r="A28" s="2">
        <v>45682</v>
      </c>
      <c r="B28">
        <v>28908</v>
      </c>
      <c r="C28">
        <v>353</v>
      </c>
      <c r="D28">
        <v>33</v>
      </c>
      <c r="E28">
        <v>876</v>
      </c>
    </row>
    <row r="29" spans="1:5" x14ac:dyDescent="0.25">
      <c r="A29" s="2">
        <v>45683</v>
      </c>
      <c r="B29">
        <v>55936</v>
      </c>
      <c r="C29">
        <v>332</v>
      </c>
      <c r="D29">
        <v>76</v>
      </c>
      <c r="E29">
        <v>736</v>
      </c>
    </row>
    <row r="30" spans="1:5" x14ac:dyDescent="0.25">
      <c r="A30" s="2">
        <v>45684</v>
      </c>
      <c r="B30">
        <v>45936</v>
      </c>
      <c r="C30">
        <v>323</v>
      </c>
      <c r="D30">
        <v>58</v>
      </c>
      <c r="E30">
        <v>792</v>
      </c>
    </row>
    <row r="31" spans="1:5" x14ac:dyDescent="0.25">
      <c r="A31" s="2">
        <v>45685</v>
      </c>
      <c r="B31">
        <v>13970</v>
      </c>
      <c r="C31">
        <v>374</v>
      </c>
      <c r="D31">
        <v>22</v>
      </c>
      <c r="E31">
        <v>635</v>
      </c>
    </row>
    <row r="32" spans="1:5" x14ac:dyDescent="0.25">
      <c r="A32" s="2">
        <v>45686</v>
      </c>
      <c r="B32">
        <v>74137</v>
      </c>
      <c r="C32">
        <v>371</v>
      </c>
      <c r="D32">
        <v>89</v>
      </c>
      <c r="E32">
        <v>833</v>
      </c>
    </row>
    <row r="33" spans="1:5" x14ac:dyDescent="0.25">
      <c r="A33" s="2">
        <v>45687</v>
      </c>
      <c r="B33">
        <v>30135</v>
      </c>
      <c r="C33">
        <v>335</v>
      </c>
      <c r="D33">
        <v>49</v>
      </c>
      <c r="E33">
        <v>615</v>
      </c>
    </row>
    <row r="34" spans="1:5" x14ac:dyDescent="0.25">
      <c r="A34" s="2">
        <v>45688</v>
      </c>
      <c r="B34">
        <v>65429</v>
      </c>
      <c r="C34">
        <v>337</v>
      </c>
      <c r="D34">
        <v>91</v>
      </c>
      <c r="E34">
        <v>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1594-61FB-4238-A11F-6C4DEDFCF1CF}">
  <dimension ref="A3:E9"/>
  <sheetViews>
    <sheetView tabSelected="1" topLeftCell="A3" zoomScale="85" zoomScaleNormal="85" workbookViewId="0">
      <selection activeCell="M26" sqref="M26"/>
    </sheetView>
  </sheetViews>
  <sheetFormatPr defaultRowHeight="15" x14ac:dyDescent="0.25"/>
  <cols>
    <col min="1" max="1" width="18.42578125" bestFit="1" customWidth="1"/>
    <col min="2" max="2" width="19.85546875" bestFit="1" customWidth="1"/>
    <col min="3" max="3" width="18" bestFit="1" customWidth="1"/>
    <col min="4" max="4" width="22.85546875" bestFit="1" customWidth="1"/>
    <col min="5" max="5" width="35" bestFit="1" customWidth="1"/>
    <col min="6" max="6" width="33.7109375" bestFit="1" customWidth="1"/>
    <col min="7" max="26" width="5" bestFit="1" customWidth="1"/>
    <col min="27" max="152" width="6" bestFit="1" customWidth="1"/>
    <col min="153" max="153" width="11.28515625" bestFit="1" customWidth="1"/>
  </cols>
  <sheetData>
    <row r="3" spans="1:5" ht="15.75" x14ac:dyDescent="0.25">
      <c r="A3" s="8" t="s">
        <v>5</v>
      </c>
      <c r="B3" s="9" t="s">
        <v>16</v>
      </c>
      <c r="C3" s="9" t="s">
        <v>12</v>
      </c>
      <c r="D3" s="9" t="s">
        <v>13</v>
      </c>
      <c r="E3" s="9" t="s">
        <v>18</v>
      </c>
    </row>
    <row r="4" spans="1:5" ht="15.75" x14ac:dyDescent="0.25">
      <c r="A4" s="10" t="s">
        <v>7</v>
      </c>
      <c r="B4" s="11">
        <v>662545</v>
      </c>
      <c r="C4" s="11">
        <v>1223540</v>
      </c>
      <c r="D4" s="11">
        <v>1647</v>
      </c>
      <c r="E4" s="12">
        <v>0.54149843895581673</v>
      </c>
    </row>
    <row r="5" spans="1:5" ht="15.75" x14ac:dyDescent="0.25">
      <c r="A5" s="10" t="s">
        <v>8</v>
      </c>
      <c r="B5" s="11">
        <v>559685</v>
      </c>
      <c r="C5" s="11">
        <v>1009720</v>
      </c>
      <c r="D5" s="11">
        <v>1284</v>
      </c>
      <c r="E5" s="12">
        <v>0.55429723091550132</v>
      </c>
    </row>
    <row r="6" spans="1:5" ht="15.75" x14ac:dyDescent="0.25">
      <c r="A6" s="10" t="s">
        <v>9</v>
      </c>
      <c r="B6" s="11">
        <v>650674</v>
      </c>
      <c r="C6" s="11">
        <v>1193839</v>
      </c>
      <c r="D6" s="11">
        <v>1560</v>
      </c>
      <c r="E6" s="12">
        <v>0.54502659068768899</v>
      </c>
    </row>
    <row r="7" spans="1:5" ht="15.75" x14ac:dyDescent="0.25">
      <c r="A7" s="10" t="s">
        <v>10</v>
      </c>
      <c r="B7" s="11">
        <v>710343</v>
      </c>
      <c r="C7" s="11">
        <v>1269568</v>
      </c>
      <c r="D7" s="11">
        <v>1585</v>
      </c>
      <c r="E7" s="12">
        <v>0.55951552023995565</v>
      </c>
    </row>
    <row r="8" spans="1:5" ht="15.75" x14ac:dyDescent="0.25">
      <c r="A8" s="10" t="s">
        <v>11</v>
      </c>
      <c r="B8" s="11">
        <v>688615</v>
      </c>
      <c r="C8" s="11">
        <v>1174227</v>
      </c>
      <c r="D8" s="11">
        <v>1415</v>
      </c>
      <c r="E8" s="12">
        <v>0.58644112254274516</v>
      </c>
    </row>
    <row r="9" spans="1:5" ht="15.75" x14ac:dyDescent="0.25">
      <c r="A9" s="10" t="s">
        <v>6</v>
      </c>
      <c r="B9" s="11">
        <v>3271862</v>
      </c>
      <c r="C9" s="11">
        <v>5870894</v>
      </c>
      <c r="D9" s="11">
        <v>7491</v>
      </c>
      <c r="E9" s="12">
        <v>0.55730217578447172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2"/>
  <sheetViews>
    <sheetView workbookViewId="0">
      <selection activeCell="E6" sqref="E6"/>
    </sheetView>
  </sheetViews>
  <sheetFormatPr defaultRowHeight="15" x14ac:dyDescent="0.25"/>
  <cols>
    <col min="1" max="1" width="21.140625" style="2" customWidth="1"/>
    <col min="2" max="2" width="15.28515625" customWidth="1"/>
    <col min="3" max="3" width="14.42578125" customWidth="1"/>
    <col min="4" max="4" width="13.28515625" customWidth="1"/>
    <col min="5" max="5" width="17.28515625" customWidth="1"/>
  </cols>
  <sheetData>
    <row r="1" spans="1:7" x14ac:dyDescent="0.25">
      <c r="A1" s="3" t="s">
        <v>0</v>
      </c>
      <c r="B1" s="1" t="s">
        <v>1</v>
      </c>
      <c r="C1" s="1" t="s">
        <v>2</v>
      </c>
      <c r="D1" s="1" t="s">
        <v>3</v>
      </c>
      <c r="E1" s="1" t="s">
        <v>4</v>
      </c>
      <c r="F1" s="5" t="s">
        <v>15</v>
      </c>
      <c r="G1" s="6" t="s">
        <v>17</v>
      </c>
    </row>
    <row r="2" spans="1:7" x14ac:dyDescent="0.25">
      <c r="A2" s="2">
        <v>45658</v>
      </c>
      <c r="B2">
        <v>48984</v>
      </c>
      <c r="C2">
        <v>322</v>
      </c>
      <c r="D2">
        <v>52</v>
      </c>
      <c r="E2">
        <v>942</v>
      </c>
      <c r="F2">
        <f>(E2 - C2) * D2</f>
        <v>32240</v>
      </c>
      <c r="G2" s="7">
        <f xml:space="preserve"> F2/B2</f>
        <v>0.65817409766454349</v>
      </c>
    </row>
    <row r="3" spans="1:7" x14ac:dyDescent="0.25">
      <c r="A3" s="2">
        <v>45659</v>
      </c>
      <c r="B3">
        <v>70308</v>
      </c>
      <c r="C3">
        <v>330</v>
      </c>
      <c r="D3">
        <v>93</v>
      </c>
      <c r="E3">
        <v>756</v>
      </c>
      <c r="F3">
        <f t="shared" ref="F3:F66" si="0">(E3 - C3) * D3</f>
        <v>39618</v>
      </c>
      <c r="G3" s="7">
        <f t="shared" ref="G3:G66" si="1" xml:space="preserve"> F3/B3</f>
        <v>0.56349206349206349</v>
      </c>
    </row>
    <row r="4" spans="1:7" x14ac:dyDescent="0.25">
      <c r="A4" s="2">
        <v>45660</v>
      </c>
      <c r="B4">
        <v>8460</v>
      </c>
      <c r="C4">
        <v>393</v>
      </c>
      <c r="D4">
        <v>15</v>
      </c>
      <c r="E4">
        <v>564</v>
      </c>
      <c r="F4">
        <f t="shared" si="0"/>
        <v>2565</v>
      </c>
      <c r="G4" s="7">
        <f t="shared" si="1"/>
        <v>0.30319148936170215</v>
      </c>
    </row>
    <row r="5" spans="1:7" x14ac:dyDescent="0.25">
      <c r="A5" s="2">
        <v>45661</v>
      </c>
      <c r="B5">
        <v>64440</v>
      </c>
      <c r="C5">
        <v>341</v>
      </c>
      <c r="D5">
        <v>72</v>
      </c>
      <c r="E5">
        <v>895</v>
      </c>
      <c r="F5">
        <f t="shared" si="0"/>
        <v>39888</v>
      </c>
      <c r="G5" s="7">
        <f t="shared" si="1"/>
        <v>0.61899441340782124</v>
      </c>
    </row>
    <row r="6" spans="1:7" x14ac:dyDescent="0.25">
      <c r="A6" s="2">
        <v>45662</v>
      </c>
      <c r="B6">
        <v>36051</v>
      </c>
      <c r="C6">
        <v>398</v>
      </c>
      <c r="D6">
        <v>61</v>
      </c>
      <c r="E6">
        <v>591</v>
      </c>
      <c r="F6">
        <f t="shared" si="0"/>
        <v>11773</v>
      </c>
      <c r="G6" s="7">
        <f t="shared" si="1"/>
        <v>0.32656514382402707</v>
      </c>
    </row>
    <row r="7" spans="1:7" x14ac:dyDescent="0.25">
      <c r="A7" s="2">
        <v>45663</v>
      </c>
      <c r="B7">
        <v>19509</v>
      </c>
      <c r="C7">
        <v>306</v>
      </c>
      <c r="D7">
        <v>21</v>
      </c>
      <c r="E7">
        <v>929</v>
      </c>
      <c r="F7">
        <f t="shared" si="0"/>
        <v>13083</v>
      </c>
      <c r="G7" s="7">
        <f t="shared" si="1"/>
        <v>0.67061356297093644</v>
      </c>
    </row>
    <row r="8" spans="1:7" x14ac:dyDescent="0.25">
      <c r="A8" s="2">
        <v>45664</v>
      </c>
      <c r="B8">
        <v>60424</v>
      </c>
      <c r="C8">
        <v>315</v>
      </c>
      <c r="D8">
        <v>83</v>
      </c>
      <c r="E8">
        <v>728</v>
      </c>
      <c r="F8">
        <f t="shared" si="0"/>
        <v>34279</v>
      </c>
      <c r="G8" s="7">
        <f t="shared" si="1"/>
        <v>0.56730769230769229</v>
      </c>
    </row>
    <row r="9" spans="1:7" x14ac:dyDescent="0.25">
      <c r="A9" s="2">
        <v>45665</v>
      </c>
      <c r="B9">
        <v>53244</v>
      </c>
      <c r="C9">
        <v>389</v>
      </c>
      <c r="D9">
        <v>87</v>
      </c>
      <c r="E9">
        <v>612</v>
      </c>
      <c r="F9">
        <f t="shared" si="0"/>
        <v>19401</v>
      </c>
      <c r="G9" s="7">
        <f t="shared" si="1"/>
        <v>0.36437908496732024</v>
      </c>
    </row>
    <row r="10" spans="1:7" x14ac:dyDescent="0.25">
      <c r="A10" s="2">
        <v>45666</v>
      </c>
      <c r="B10">
        <v>67575</v>
      </c>
      <c r="C10">
        <v>359</v>
      </c>
      <c r="D10">
        <v>75</v>
      </c>
      <c r="E10">
        <v>901</v>
      </c>
      <c r="F10">
        <f t="shared" si="0"/>
        <v>40650</v>
      </c>
      <c r="G10" s="7">
        <f t="shared" si="1"/>
        <v>0.60155382907880128</v>
      </c>
    </row>
    <row r="11" spans="1:7" x14ac:dyDescent="0.25">
      <c r="A11" s="2">
        <v>45667</v>
      </c>
      <c r="B11">
        <v>58500</v>
      </c>
      <c r="C11">
        <v>301</v>
      </c>
      <c r="D11">
        <v>75</v>
      </c>
      <c r="E11">
        <v>780</v>
      </c>
      <c r="F11">
        <f t="shared" si="0"/>
        <v>35925</v>
      </c>
      <c r="G11" s="7">
        <f t="shared" si="1"/>
        <v>0.61410256410256414</v>
      </c>
    </row>
    <row r="12" spans="1:7" x14ac:dyDescent="0.25">
      <c r="A12" s="2">
        <v>45668</v>
      </c>
      <c r="B12">
        <v>69520</v>
      </c>
      <c r="C12">
        <v>300</v>
      </c>
      <c r="D12">
        <v>88</v>
      </c>
      <c r="E12">
        <v>790</v>
      </c>
      <c r="F12">
        <f t="shared" si="0"/>
        <v>43120</v>
      </c>
      <c r="G12" s="7">
        <f t="shared" si="1"/>
        <v>0.620253164556962</v>
      </c>
    </row>
    <row r="13" spans="1:7" x14ac:dyDescent="0.25">
      <c r="A13" s="2">
        <v>45669</v>
      </c>
      <c r="B13">
        <v>60100</v>
      </c>
      <c r="C13">
        <v>347</v>
      </c>
      <c r="D13">
        <v>100</v>
      </c>
      <c r="E13">
        <v>601</v>
      </c>
      <c r="F13">
        <f t="shared" si="0"/>
        <v>25400</v>
      </c>
      <c r="G13" s="7">
        <f t="shared" si="1"/>
        <v>0.4226289517470882</v>
      </c>
    </row>
    <row r="14" spans="1:7" x14ac:dyDescent="0.25">
      <c r="A14" s="2">
        <v>45670</v>
      </c>
      <c r="B14">
        <v>15480</v>
      </c>
      <c r="C14">
        <v>311</v>
      </c>
      <c r="D14">
        <v>24</v>
      </c>
      <c r="E14">
        <v>645</v>
      </c>
      <c r="F14">
        <f t="shared" si="0"/>
        <v>8016</v>
      </c>
      <c r="G14" s="7">
        <f t="shared" si="1"/>
        <v>0.51782945736434105</v>
      </c>
    </row>
    <row r="15" spans="1:7" x14ac:dyDescent="0.25">
      <c r="A15" s="2">
        <v>45671</v>
      </c>
      <c r="B15">
        <v>2811</v>
      </c>
      <c r="C15">
        <v>368</v>
      </c>
      <c r="D15">
        <v>3</v>
      </c>
      <c r="E15">
        <v>937</v>
      </c>
      <c r="F15">
        <f t="shared" si="0"/>
        <v>1707</v>
      </c>
      <c r="G15" s="7">
        <f t="shared" si="1"/>
        <v>0.60725720384204906</v>
      </c>
    </row>
    <row r="16" spans="1:7" x14ac:dyDescent="0.25">
      <c r="A16" s="2">
        <v>45672</v>
      </c>
      <c r="B16">
        <v>16962</v>
      </c>
      <c r="C16">
        <v>336</v>
      </c>
      <c r="D16">
        <v>22</v>
      </c>
      <c r="E16">
        <v>771</v>
      </c>
      <c r="F16">
        <f t="shared" si="0"/>
        <v>9570</v>
      </c>
      <c r="G16" s="7">
        <f t="shared" si="1"/>
        <v>0.56420233463035019</v>
      </c>
    </row>
    <row r="17" spans="1:7" x14ac:dyDescent="0.25">
      <c r="A17" s="2">
        <v>45673</v>
      </c>
      <c r="B17">
        <v>50668</v>
      </c>
      <c r="C17">
        <v>331</v>
      </c>
      <c r="D17">
        <v>53</v>
      </c>
      <c r="E17">
        <v>956</v>
      </c>
      <c r="F17">
        <f t="shared" si="0"/>
        <v>33125</v>
      </c>
      <c r="G17" s="7">
        <f t="shared" si="1"/>
        <v>0.65376569037656906</v>
      </c>
    </row>
    <row r="18" spans="1:7" x14ac:dyDescent="0.25">
      <c r="A18" s="2">
        <v>45674</v>
      </c>
      <c r="B18">
        <v>1560</v>
      </c>
      <c r="C18">
        <v>308</v>
      </c>
      <c r="D18">
        <v>2</v>
      </c>
      <c r="E18">
        <v>780</v>
      </c>
      <c r="F18">
        <f t="shared" si="0"/>
        <v>944</v>
      </c>
      <c r="G18" s="7">
        <f t="shared" si="1"/>
        <v>0.60512820512820509</v>
      </c>
    </row>
    <row r="19" spans="1:7" x14ac:dyDescent="0.25">
      <c r="A19" s="2">
        <v>45675</v>
      </c>
      <c r="B19">
        <v>69168</v>
      </c>
      <c r="C19">
        <v>398</v>
      </c>
      <c r="D19">
        <v>88</v>
      </c>
      <c r="E19">
        <v>786</v>
      </c>
      <c r="F19">
        <f t="shared" si="0"/>
        <v>34144</v>
      </c>
      <c r="G19" s="7">
        <f t="shared" si="1"/>
        <v>0.49363867684478374</v>
      </c>
    </row>
    <row r="20" spans="1:7" x14ac:dyDescent="0.25">
      <c r="A20" s="2">
        <v>45676</v>
      </c>
      <c r="B20">
        <v>20760</v>
      </c>
      <c r="C20">
        <v>318</v>
      </c>
      <c r="D20">
        <v>30</v>
      </c>
      <c r="E20">
        <v>692</v>
      </c>
      <c r="F20">
        <f t="shared" si="0"/>
        <v>11220</v>
      </c>
      <c r="G20" s="7">
        <f t="shared" si="1"/>
        <v>0.54046242774566478</v>
      </c>
    </row>
    <row r="21" spans="1:7" x14ac:dyDescent="0.25">
      <c r="A21" s="2">
        <v>45677</v>
      </c>
      <c r="B21">
        <v>27360</v>
      </c>
      <c r="C21">
        <v>347</v>
      </c>
      <c r="D21">
        <v>38</v>
      </c>
      <c r="E21">
        <v>720</v>
      </c>
      <c r="F21">
        <f t="shared" si="0"/>
        <v>14174</v>
      </c>
      <c r="G21" s="7">
        <f t="shared" si="1"/>
        <v>0.5180555555555556</v>
      </c>
    </row>
    <row r="22" spans="1:7" x14ac:dyDescent="0.25">
      <c r="A22" s="2">
        <v>45678</v>
      </c>
      <c r="B22">
        <v>1156</v>
      </c>
      <c r="C22">
        <v>379</v>
      </c>
      <c r="D22">
        <v>2</v>
      </c>
      <c r="E22">
        <v>578</v>
      </c>
      <c r="F22">
        <f t="shared" si="0"/>
        <v>398</v>
      </c>
      <c r="G22" s="7">
        <f t="shared" si="1"/>
        <v>0.34429065743944637</v>
      </c>
    </row>
    <row r="23" spans="1:7" x14ac:dyDescent="0.25">
      <c r="A23" s="2">
        <v>45679</v>
      </c>
      <c r="B23">
        <v>37440</v>
      </c>
      <c r="C23">
        <v>302</v>
      </c>
      <c r="D23">
        <v>64</v>
      </c>
      <c r="E23">
        <v>585</v>
      </c>
      <c r="F23">
        <f t="shared" si="0"/>
        <v>18112</v>
      </c>
      <c r="G23" s="7">
        <f t="shared" si="1"/>
        <v>0.48376068376068376</v>
      </c>
    </row>
    <row r="24" spans="1:7" x14ac:dyDescent="0.25">
      <c r="A24" s="2">
        <v>45680</v>
      </c>
      <c r="B24">
        <v>33720</v>
      </c>
      <c r="C24">
        <v>319</v>
      </c>
      <c r="D24">
        <v>60</v>
      </c>
      <c r="E24">
        <v>562</v>
      </c>
      <c r="F24">
        <f t="shared" si="0"/>
        <v>14580</v>
      </c>
      <c r="G24" s="7">
        <f t="shared" si="1"/>
        <v>0.43238434163701067</v>
      </c>
    </row>
    <row r="25" spans="1:7" x14ac:dyDescent="0.25">
      <c r="A25" s="2">
        <v>45681</v>
      </c>
      <c r="B25">
        <v>14889</v>
      </c>
      <c r="C25">
        <v>323</v>
      </c>
      <c r="D25">
        <v>21</v>
      </c>
      <c r="E25">
        <v>709</v>
      </c>
      <c r="F25">
        <f t="shared" si="0"/>
        <v>8106</v>
      </c>
      <c r="G25" s="7">
        <f t="shared" si="1"/>
        <v>0.54442877291960512</v>
      </c>
    </row>
    <row r="26" spans="1:7" x14ac:dyDescent="0.25">
      <c r="A26" s="2">
        <v>45682</v>
      </c>
      <c r="B26">
        <v>28908</v>
      </c>
      <c r="C26">
        <v>353</v>
      </c>
      <c r="D26">
        <v>33</v>
      </c>
      <c r="E26">
        <v>876</v>
      </c>
      <c r="F26">
        <f t="shared" si="0"/>
        <v>17259</v>
      </c>
      <c r="G26" s="7">
        <f t="shared" si="1"/>
        <v>0.59703196347031962</v>
      </c>
    </row>
    <row r="27" spans="1:7" x14ac:dyDescent="0.25">
      <c r="A27" s="2">
        <v>45683</v>
      </c>
      <c r="B27">
        <v>55936</v>
      </c>
      <c r="C27">
        <v>332</v>
      </c>
      <c r="D27">
        <v>76</v>
      </c>
      <c r="E27">
        <v>736</v>
      </c>
      <c r="F27">
        <f t="shared" si="0"/>
        <v>30704</v>
      </c>
      <c r="G27" s="7">
        <f t="shared" si="1"/>
        <v>0.54891304347826086</v>
      </c>
    </row>
    <row r="28" spans="1:7" x14ac:dyDescent="0.25">
      <c r="A28" s="2">
        <v>45684</v>
      </c>
      <c r="B28">
        <v>45936</v>
      </c>
      <c r="C28">
        <v>323</v>
      </c>
      <c r="D28">
        <v>58</v>
      </c>
      <c r="E28">
        <v>792</v>
      </c>
      <c r="F28">
        <f t="shared" si="0"/>
        <v>27202</v>
      </c>
      <c r="G28" s="7">
        <f t="shared" si="1"/>
        <v>0.59217171717171713</v>
      </c>
    </row>
    <row r="29" spans="1:7" x14ac:dyDescent="0.25">
      <c r="A29" s="2">
        <v>45685</v>
      </c>
      <c r="B29">
        <v>13970</v>
      </c>
      <c r="C29">
        <v>374</v>
      </c>
      <c r="D29">
        <v>22</v>
      </c>
      <c r="E29">
        <v>635</v>
      </c>
      <c r="F29">
        <f t="shared" si="0"/>
        <v>5742</v>
      </c>
      <c r="G29" s="7">
        <f t="shared" si="1"/>
        <v>0.41102362204724407</v>
      </c>
    </row>
    <row r="30" spans="1:7" x14ac:dyDescent="0.25">
      <c r="A30" s="2">
        <v>45686</v>
      </c>
      <c r="B30">
        <v>74137</v>
      </c>
      <c r="C30">
        <v>371</v>
      </c>
      <c r="D30">
        <v>89</v>
      </c>
      <c r="E30">
        <v>833</v>
      </c>
      <c r="F30">
        <f t="shared" si="0"/>
        <v>41118</v>
      </c>
      <c r="G30" s="7">
        <f t="shared" si="1"/>
        <v>0.55462184873949583</v>
      </c>
    </row>
    <row r="31" spans="1:7" x14ac:dyDescent="0.25">
      <c r="A31" s="2">
        <v>45687</v>
      </c>
      <c r="B31">
        <v>30135</v>
      </c>
      <c r="C31">
        <v>335</v>
      </c>
      <c r="D31">
        <v>49</v>
      </c>
      <c r="E31">
        <v>615</v>
      </c>
      <c r="F31">
        <f t="shared" si="0"/>
        <v>13720</v>
      </c>
      <c r="G31" s="7">
        <f t="shared" si="1"/>
        <v>0.45528455284552843</v>
      </c>
    </row>
    <row r="32" spans="1:7" x14ac:dyDescent="0.25">
      <c r="A32" s="2">
        <v>45688</v>
      </c>
      <c r="B32">
        <v>65429</v>
      </c>
      <c r="C32">
        <v>337</v>
      </c>
      <c r="D32">
        <v>91</v>
      </c>
      <c r="E32">
        <v>719</v>
      </c>
      <c r="F32">
        <f t="shared" si="0"/>
        <v>34762</v>
      </c>
      <c r="G32" s="7">
        <f t="shared" si="1"/>
        <v>0.53129346314325454</v>
      </c>
    </row>
    <row r="33" spans="1:7" x14ac:dyDescent="0.25">
      <c r="A33" s="2">
        <v>45689</v>
      </c>
      <c r="B33">
        <v>35046</v>
      </c>
      <c r="C33">
        <v>383</v>
      </c>
      <c r="D33">
        <v>59</v>
      </c>
      <c r="E33">
        <v>594</v>
      </c>
      <c r="F33">
        <f t="shared" si="0"/>
        <v>12449</v>
      </c>
      <c r="G33" s="7">
        <f t="shared" si="1"/>
        <v>0.35521885521885521</v>
      </c>
    </row>
    <row r="34" spans="1:7" x14ac:dyDescent="0.25">
      <c r="A34" s="2">
        <v>45690</v>
      </c>
      <c r="B34">
        <v>25662</v>
      </c>
      <c r="C34">
        <v>398</v>
      </c>
      <c r="D34">
        <v>42</v>
      </c>
      <c r="E34">
        <v>611</v>
      </c>
      <c r="F34">
        <f t="shared" si="0"/>
        <v>8946</v>
      </c>
      <c r="G34" s="7">
        <f t="shared" si="1"/>
        <v>0.3486088379705401</v>
      </c>
    </row>
    <row r="35" spans="1:7" x14ac:dyDescent="0.25">
      <c r="A35" s="2">
        <v>45691</v>
      </c>
      <c r="B35">
        <v>91080</v>
      </c>
      <c r="C35">
        <v>388</v>
      </c>
      <c r="D35">
        <v>92</v>
      </c>
      <c r="E35">
        <v>990</v>
      </c>
      <c r="F35">
        <f t="shared" si="0"/>
        <v>55384</v>
      </c>
      <c r="G35" s="7">
        <f t="shared" si="1"/>
        <v>0.60808080808080811</v>
      </c>
    </row>
    <row r="36" spans="1:7" x14ac:dyDescent="0.25">
      <c r="A36" s="2">
        <v>45692</v>
      </c>
      <c r="B36">
        <v>40980</v>
      </c>
      <c r="C36">
        <v>398</v>
      </c>
      <c r="D36">
        <v>60</v>
      </c>
      <c r="E36">
        <v>683</v>
      </c>
      <c r="F36">
        <f t="shared" si="0"/>
        <v>17100</v>
      </c>
      <c r="G36" s="7">
        <f t="shared" si="1"/>
        <v>0.41727672035139091</v>
      </c>
    </row>
    <row r="37" spans="1:7" x14ac:dyDescent="0.25">
      <c r="A37" s="2">
        <v>45693</v>
      </c>
      <c r="B37">
        <v>66640</v>
      </c>
      <c r="C37">
        <v>324</v>
      </c>
      <c r="D37">
        <v>80</v>
      </c>
      <c r="E37">
        <v>833</v>
      </c>
      <c r="F37">
        <f t="shared" si="0"/>
        <v>40720</v>
      </c>
      <c r="G37" s="7">
        <f t="shared" si="1"/>
        <v>0.61104441776710683</v>
      </c>
    </row>
    <row r="38" spans="1:7" x14ac:dyDescent="0.25">
      <c r="A38" s="2">
        <v>45694</v>
      </c>
      <c r="B38">
        <v>8655</v>
      </c>
      <c r="C38">
        <v>392</v>
      </c>
      <c r="D38">
        <v>15</v>
      </c>
      <c r="E38">
        <v>577</v>
      </c>
      <c r="F38">
        <f t="shared" si="0"/>
        <v>2775</v>
      </c>
      <c r="G38" s="7">
        <f t="shared" si="1"/>
        <v>0.32062391681109187</v>
      </c>
    </row>
    <row r="39" spans="1:7" x14ac:dyDescent="0.25">
      <c r="A39" s="2">
        <v>45695</v>
      </c>
      <c r="B39">
        <v>40734</v>
      </c>
      <c r="C39">
        <v>317</v>
      </c>
      <c r="D39">
        <v>62</v>
      </c>
      <c r="E39">
        <v>657</v>
      </c>
      <c r="F39">
        <f t="shared" si="0"/>
        <v>21080</v>
      </c>
      <c r="G39" s="7">
        <f t="shared" si="1"/>
        <v>0.51750380517503802</v>
      </c>
    </row>
    <row r="40" spans="1:7" x14ac:dyDescent="0.25">
      <c r="A40" s="2">
        <v>45696</v>
      </c>
      <c r="B40">
        <v>36766</v>
      </c>
      <c r="C40">
        <v>381</v>
      </c>
      <c r="D40">
        <v>62</v>
      </c>
      <c r="E40">
        <v>593</v>
      </c>
      <c r="F40">
        <f t="shared" si="0"/>
        <v>13144</v>
      </c>
      <c r="G40" s="7">
        <f t="shared" si="1"/>
        <v>0.35750421585160203</v>
      </c>
    </row>
    <row r="41" spans="1:7" x14ac:dyDescent="0.25">
      <c r="A41" s="2">
        <v>45697</v>
      </c>
      <c r="B41">
        <v>41783</v>
      </c>
      <c r="C41">
        <v>365</v>
      </c>
      <c r="D41">
        <v>47</v>
      </c>
      <c r="E41">
        <v>889</v>
      </c>
      <c r="F41">
        <f t="shared" si="0"/>
        <v>24628</v>
      </c>
      <c r="G41" s="7">
        <f t="shared" si="1"/>
        <v>0.58942632170978626</v>
      </c>
    </row>
    <row r="42" spans="1:7" x14ac:dyDescent="0.25">
      <c r="A42" s="2">
        <v>45698</v>
      </c>
      <c r="B42">
        <v>51770</v>
      </c>
      <c r="C42">
        <v>353</v>
      </c>
      <c r="D42">
        <v>62</v>
      </c>
      <c r="E42">
        <v>835</v>
      </c>
      <c r="F42">
        <f t="shared" si="0"/>
        <v>29884</v>
      </c>
      <c r="G42" s="7">
        <f t="shared" si="1"/>
        <v>0.57724550898203597</v>
      </c>
    </row>
    <row r="43" spans="1:7" x14ac:dyDescent="0.25">
      <c r="A43" s="2">
        <v>45699</v>
      </c>
      <c r="B43">
        <v>50745</v>
      </c>
      <c r="C43">
        <v>334</v>
      </c>
      <c r="D43">
        <v>51</v>
      </c>
      <c r="E43">
        <v>995</v>
      </c>
      <c r="F43">
        <f t="shared" si="0"/>
        <v>33711</v>
      </c>
      <c r="G43" s="7">
        <f t="shared" si="1"/>
        <v>0.66432160804020102</v>
      </c>
    </row>
    <row r="44" spans="1:7" x14ac:dyDescent="0.25">
      <c r="A44" s="2">
        <v>45700</v>
      </c>
      <c r="B44">
        <v>48400</v>
      </c>
      <c r="C44">
        <v>379</v>
      </c>
      <c r="D44">
        <v>55</v>
      </c>
      <c r="E44">
        <v>880</v>
      </c>
      <c r="F44">
        <f t="shared" si="0"/>
        <v>27555</v>
      </c>
      <c r="G44" s="7">
        <f t="shared" si="1"/>
        <v>0.56931818181818183</v>
      </c>
    </row>
    <row r="45" spans="1:7" x14ac:dyDescent="0.25">
      <c r="A45" s="2">
        <v>45701</v>
      </c>
      <c r="B45">
        <v>43328</v>
      </c>
      <c r="C45">
        <v>360</v>
      </c>
      <c r="D45">
        <v>64</v>
      </c>
      <c r="E45">
        <v>677</v>
      </c>
      <c r="F45">
        <f t="shared" si="0"/>
        <v>20288</v>
      </c>
      <c r="G45" s="7">
        <f t="shared" si="1"/>
        <v>0.46824224519940916</v>
      </c>
    </row>
    <row r="46" spans="1:7" x14ac:dyDescent="0.25">
      <c r="A46" s="2">
        <v>45702</v>
      </c>
      <c r="B46">
        <v>2691</v>
      </c>
      <c r="C46">
        <v>340</v>
      </c>
      <c r="D46">
        <v>3</v>
      </c>
      <c r="E46">
        <v>897</v>
      </c>
      <c r="F46">
        <f t="shared" si="0"/>
        <v>1671</v>
      </c>
      <c r="G46" s="7">
        <f t="shared" si="1"/>
        <v>0.62095875139353396</v>
      </c>
    </row>
    <row r="47" spans="1:7" x14ac:dyDescent="0.25">
      <c r="A47" s="2">
        <v>45703</v>
      </c>
      <c r="B47">
        <v>39780</v>
      </c>
      <c r="C47">
        <v>399</v>
      </c>
      <c r="D47">
        <v>51</v>
      </c>
      <c r="E47">
        <v>780</v>
      </c>
      <c r="F47">
        <f t="shared" si="0"/>
        <v>19431</v>
      </c>
      <c r="G47" s="7">
        <f t="shared" si="1"/>
        <v>0.48846153846153845</v>
      </c>
    </row>
    <row r="48" spans="1:7" x14ac:dyDescent="0.25">
      <c r="A48" s="2">
        <v>45704</v>
      </c>
      <c r="B48">
        <v>5173</v>
      </c>
      <c r="C48">
        <v>332</v>
      </c>
      <c r="D48">
        <v>7</v>
      </c>
      <c r="E48">
        <v>739</v>
      </c>
      <c r="F48">
        <f t="shared" si="0"/>
        <v>2849</v>
      </c>
      <c r="G48" s="7">
        <f t="shared" si="1"/>
        <v>0.55074424898511498</v>
      </c>
    </row>
    <row r="49" spans="1:7" x14ac:dyDescent="0.25">
      <c r="A49" s="2">
        <v>45705</v>
      </c>
      <c r="B49">
        <v>16254</v>
      </c>
      <c r="C49">
        <v>367</v>
      </c>
      <c r="D49">
        <v>21</v>
      </c>
      <c r="E49">
        <v>774</v>
      </c>
      <c r="F49">
        <f t="shared" si="0"/>
        <v>8547</v>
      </c>
      <c r="G49" s="7">
        <f t="shared" si="1"/>
        <v>0.52583979328165376</v>
      </c>
    </row>
    <row r="50" spans="1:7" x14ac:dyDescent="0.25">
      <c r="A50" s="2">
        <v>45706</v>
      </c>
      <c r="B50">
        <v>68182</v>
      </c>
      <c r="C50">
        <v>332</v>
      </c>
      <c r="D50">
        <v>73</v>
      </c>
      <c r="E50">
        <v>934</v>
      </c>
      <c r="F50">
        <f t="shared" si="0"/>
        <v>43946</v>
      </c>
      <c r="G50" s="7">
        <f t="shared" si="1"/>
        <v>0.64453961456102782</v>
      </c>
    </row>
    <row r="51" spans="1:7" x14ac:dyDescent="0.25">
      <c r="A51" s="2">
        <v>45707</v>
      </c>
      <c r="B51">
        <v>36114</v>
      </c>
      <c r="C51">
        <v>313</v>
      </c>
      <c r="D51">
        <v>39</v>
      </c>
      <c r="E51">
        <v>926</v>
      </c>
      <c r="F51">
        <f t="shared" si="0"/>
        <v>23907</v>
      </c>
      <c r="G51" s="7">
        <f t="shared" si="1"/>
        <v>0.66198704103671702</v>
      </c>
    </row>
    <row r="52" spans="1:7" x14ac:dyDescent="0.25">
      <c r="A52" s="2">
        <v>45708</v>
      </c>
      <c r="B52">
        <v>14976</v>
      </c>
      <c r="C52">
        <v>320</v>
      </c>
      <c r="D52">
        <v>18</v>
      </c>
      <c r="E52">
        <v>832</v>
      </c>
      <c r="F52">
        <f t="shared" si="0"/>
        <v>9216</v>
      </c>
      <c r="G52" s="7">
        <f t="shared" si="1"/>
        <v>0.61538461538461542</v>
      </c>
    </row>
    <row r="53" spans="1:7" x14ac:dyDescent="0.25">
      <c r="A53" s="2">
        <v>45709</v>
      </c>
      <c r="B53">
        <v>3980</v>
      </c>
      <c r="C53">
        <v>347</v>
      </c>
      <c r="D53">
        <v>4</v>
      </c>
      <c r="E53">
        <v>995</v>
      </c>
      <c r="F53">
        <f t="shared" si="0"/>
        <v>2592</v>
      </c>
      <c r="G53" s="7">
        <f t="shared" si="1"/>
        <v>0.65125628140703518</v>
      </c>
    </row>
    <row r="54" spans="1:7" x14ac:dyDescent="0.25">
      <c r="A54" s="2">
        <v>45710</v>
      </c>
      <c r="B54">
        <v>59630</v>
      </c>
      <c r="C54">
        <v>319</v>
      </c>
      <c r="D54">
        <v>89</v>
      </c>
      <c r="E54">
        <v>670</v>
      </c>
      <c r="F54">
        <f t="shared" si="0"/>
        <v>31239</v>
      </c>
      <c r="G54" s="7">
        <f t="shared" si="1"/>
        <v>0.5238805970149254</v>
      </c>
    </row>
    <row r="55" spans="1:7" x14ac:dyDescent="0.25">
      <c r="A55" s="2">
        <v>45711</v>
      </c>
      <c r="B55">
        <v>39900</v>
      </c>
      <c r="C55">
        <v>307</v>
      </c>
      <c r="D55">
        <v>60</v>
      </c>
      <c r="E55">
        <v>665</v>
      </c>
      <c r="F55">
        <f t="shared" si="0"/>
        <v>21480</v>
      </c>
      <c r="G55" s="7">
        <f t="shared" si="1"/>
        <v>0.53834586466165413</v>
      </c>
    </row>
    <row r="56" spans="1:7" x14ac:dyDescent="0.25">
      <c r="A56" s="2">
        <v>45712</v>
      </c>
      <c r="B56">
        <v>10948</v>
      </c>
      <c r="C56">
        <v>306</v>
      </c>
      <c r="D56">
        <v>14</v>
      </c>
      <c r="E56">
        <v>782</v>
      </c>
      <c r="F56">
        <f t="shared" si="0"/>
        <v>6664</v>
      </c>
      <c r="G56" s="7">
        <f t="shared" si="1"/>
        <v>0.60869565217391308</v>
      </c>
    </row>
    <row r="57" spans="1:7" x14ac:dyDescent="0.25">
      <c r="A57" s="2">
        <v>45713</v>
      </c>
      <c r="B57">
        <v>7272</v>
      </c>
      <c r="C57">
        <v>366</v>
      </c>
      <c r="D57">
        <v>9</v>
      </c>
      <c r="E57">
        <v>808</v>
      </c>
      <c r="F57">
        <f t="shared" si="0"/>
        <v>3978</v>
      </c>
      <c r="G57" s="7">
        <f t="shared" si="1"/>
        <v>0.54702970297029707</v>
      </c>
    </row>
    <row r="58" spans="1:7" x14ac:dyDescent="0.25">
      <c r="A58" s="2">
        <v>45714</v>
      </c>
      <c r="B58">
        <v>81720</v>
      </c>
      <c r="C58">
        <v>316</v>
      </c>
      <c r="D58">
        <v>90</v>
      </c>
      <c r="E58">
        <v>908</v>
      </c>
      <c r="F58">
        <f t="shared" si="0"/>
        <v>53280</v>
      </c>
      <c r="G58" s="7">
        <f t="shared" si="1"/>
        <v>0.65198237885462551</v>
      </c>
    </row>
    <row r="59" spans="1:7" x14ac:dyDescent="0.25">
      <c r="A59" s="2">
        <v>45715</v>
      </c>
      <c r="B59">
        <v>39591</v>
      </c>
      <c r="C59">
        <v>332</v>
      </c>
      <c r="D59">
        <v>53</v>
      </c>
      <c r="E59">
        <v>747</v>
      </c>
      <c r="F59">
        <f t="shared" si="0"/>
        <v>21995</v>
      </c>
      <c r="G59" s="7">
        <f t="shared" si="1"/>
        <v>0.55555555555555558</v>
      </c>
    </row>
    <row r="60" spans="1:7" x14ac:dyDescent="0.25">
      <c r="A60" s="2">
        <v>45716</v>
      </c>
      <c r="B60">
        <v>1920</v>
      </c>
      <c r="C60">
        <v>347</v>
      </c>
      <c r="D60">
        <v>2</v>
      </c>
      <c r="E60">
        <v>960</v>
      </c>
      <c r="F60">
        <f t="shared" si="0"/>
        <v>1226</v>
      </c>
      <c r="G60" s="7">
        <f t="shared" si="1"/>
        <v>0.63854166666666667</v>
      </c>
    </row>
    <row r="61" spans="1:7" x14ac:dyDescent="0.25">
      <c r="A61" s="2">
        <v>45717</v>
      </c>
      <c r="B61">
        <v>57624</v>
      </c>
      <c r="C61">
        <v>375</v>
      </c>
      <c r="D61">
        <v>84</v>
      </c>
      <c r="E61">
        <v>686</v>
      </c>
      <c r="F61">
        <f t="shared" si="0"/>
        <v>26124</v>
      </c>
      <c r="G61" s="7">
        <f t="shared" si="1"/>
        <v>0.45335276967930027</v>
      </c>
    </row>
    <row r="62" spans="1:7" x14ac:dyDescent="0.25">
      <c r="A62" s="2">
        <v>45718</v>
      </c>
      <c r="B62">
        <v>79764</v>
      </c>
      <c r="C62">
        <v>358</v>
      </c>
      <c r="D62">
        <v>92</v>
      </c>
      <c r="E62">
        <v>867</v>
      </c>
      <c r="F62">
        <f t="shared" si="0"/>
        <v>46828</v>
      </c>
      <c r="G62" s="7">
        <f t="shared" si="1"/>
        <v>0.58708189158016144</v>
      </c>
    </row>
    <row r="63" spans="1:7" x14ac:dyDescent="0.25">
      <c r="A63" s="2">
        <v>45719</v>
      </c>
      <c r="B63">
        <v>42840</v>
      </c>
      <c r="C63">
        <v>385</v>
      </c>
      <c r="D63">
        <v>60</v>
      </c>
      <c r="E63">
        <v>714</v>
      </c>
      <c r="F63">
        <f t="shared" si="0"/>
        <v>19740</v>
      </c>
      <c r="G63" s="7">
        <f t="shared" si="1"/>
        <v>0.46078431372549017</v>
      </c>
    </row>
    <row r="64" spans="1:7" x14ac:dyDescent="0.25">
      <c r="A64" s="2">
        <v>45720</v>
      </c>
      <c r="B64">
        <v>54954</v>
      </c>
      <c r="C64">
        <v>321</v>
      </c>
      <c r="D64">
        <v>71</v>
      </c>
      <c r="E64">
        <v>774</v>
      </c>
      <c r="F64">
        <f t="shared" si="0"/>
        <v>32163</v>
      </c>
      <c r="G64" s="7">
        <f t="shared" si="1"/>
        <v>0.5852713178294574</v>
      </c>
    </row>
    <row r="65" spans="1:7" x14ac:dyDescent="0.25">
      <c r="A65" s="2">
        <v>45721</v>
      </c>
      <c r="B65">
        <v>37664</v>
      </c>
      <c r="C65">
        <v>329</v>
      </c>
      <c r="D65">
        <v>44</v>
      </c>
      <c r="E65">
        <v>856</v>
      </c>
      <c r="F65">
        <f t="shared" si="0"/>
        <v>23188</v>
      </c>
      <c r="G65" s="7">
        <f t="shared" si="1"/>
        <v>0.61565420560747663</v>
      </c>
    </row>
    <row r="66" spans="1:7" x14ac:dyDescent="0.25">
      <c r="A66" s="2">
        <v>45722</v>
      </c>
      <c r="B66">
        <v>6264</v>
      </c>
      <c r="C66">
        <v>337</v>
      </c>
      <c r="D66">
        <v>8</v>
      </c>
      <c r="E66">
        <v>783</v>
      </c>
      <c r="F66">
        <f t="shared" si="0"/>
        <v>3568</v>
      </c>
      <c r="G66" s="7">
        <f t="shared" si="1"/>
        <v>0.56960408684546615</v>
      </c>
    </row>
    <row r="67" spans="1:7" x14ac:dyDescent="0.25">
      <c r="A67" s="2">
        <v>45723</v>
      </c>
      <c r="B67">
        <v>33887</v>
      </c>
      <c r="C67">
        <v>350</v>
      </c>
      <c r="D67">
        <v>47</v>
      </c>
      <c r="E67">
        <v>721</v>
      </c>
      <c r="F67">
        <f t="shared" ref="F67:F130" si="2">(E67 - C67) * D67</f>
        <v>17437</v>
      </c>
      <c r="G67" s="7">
        <f t="shared" ref="G67:G130" si="3" xml:space="preserve"> F67/B67</f>
        <v>0.5145631067961165</v>
      </c>
    </row>
    <row r="68" spans="1:7" x14ac:dyDescent="0.25">
      <c r="A68" s="2">
        <v>45724</v>
      </c>
      <c r="B68">
        <v>24535</v>
      </c>
      <c r="C68">
        <v>353</v>
      </c>
      <c r="D68">
        <v>35</v>
      </c>
      <c r="E68">
        <v>701</v>
      </c>
      <c r="F68">
        <f t="shared" si="2"/>
        <v>12180</v>
      </c>
      <c r="G68" s="7">
        <f t="shared" si="3"/>
        <v>0.49643366619115548</v>
      </c>
    </row>
    <row r="69" spans="1:7" x14ac:dyDescent="0.25">
      <c r="A69" s="2">
        <v>45725</v>
      </c>
      <c r="B69">
        <v>67392</v>
      </c>
      <c r="C69">
        <v>307</v>
      </c>
      <c r="D69">
        <v>78</v>
      </c>
      <c r="E69">
        <v>864</v>
      </c>
      <c r="F69">
        <f t="shared" si="2"/>
        <v>43446</v>
      </c>
      <c r="G69" s="7">
        <f t="shared" si="3"/>
        <v>0.64467592592592593</v>
      </c>
    </row>
    <row r="70" spans="1:7" x14ac:dyDescent="0.25">
      <c r="A70" s="2">
        <v>45726</v>
      </c>
      <c r="B70">
        <v>74763</v>
      </c>
      <c r="C70">
        <v>326</v>
      </c>
      <c r="D70">
        <v>81</v>
      </c>
      <c r="E70">
        <v>923</v>
      </c>
      <c r="F70">
        <f t="shared" si="2"/>
        <v>48357</v>
      </c>
      <c r="G70" s="7">
        <f t="shared" si="3"/>
        <v>0.6468039003250271</v>
      </c>
    </row>
    <row r="71" spans="1:7" x14ac:dyDescent="0.25">
      <c r="A71" s="2">
        <v>45727</v>
      </c>
      <c r="B71">
        <v>25524</v>
      </c>
      <c r="C71">
        <v>326</v>
      </c>
      <c r="D71">
        <v>36</v>
      </c>
      <c r="E71">
        <v>709</v>
      </c>
      <c r="F71">
        <f t="shared" si="2"/>
        <v>13788</v>
      </c>
      <c r="G71" s="7">
        <f t="shared" si="3"/>
        <v>0.54019746121297607</v>
      </c>
    </row>
    <row r="72" spans="1:7" x14ac:dyDescent="0.25">
      <c r="A72" s="2">
        <v>45728</v>
      </c>
      <c r="B72">
        <v>32250</v>
      </c>
      <c r="C72">
        <v>397</v>
      </c>
      <c r="D72">
        <v>50</v>
      </c>
      <c r="E72">
        <v>645</v>
      </c>
      <c r="F72">
        <f t="shared" si="2"/>
        <v>12400</v>
      </c>
      <c r="G72" s="7">
        <f t="shared" si="3"/>
        <v>0.38449612403100775</v>
      </c>
    </row>
    <row r="73" spans="1:7" x14ac:dyDescent="0.25">
      <c r="A73" s="2">
        <v>45729</v>
      </c>
      <c r="B73">
        <v>3128</v>
      </c>
      <c r="C73">
        <v>320</v>
      </c>
      <c r="D73">
        <v>4</v>
      </c>
      <c r="E73">
        <v>782</v>
      </c>
      <c r="F73">
        <f t="shared" si="2"/>
        <v>1848</v>
      </c>
      <c r="G73" s="7">
        <f t="shared" si="3"/>
        <v>0.59079283887468026</v>
      </c>
    </row>
    <row r="74" spans="1:7" x14ac:dyDescent="0.25">
      <c r="A74" s="2">
        <v>45730</v>
      </c>
      <c r="B74">
        <v>1458</v>
      </c>
      <c r="C74">
        <v>329</v>
      </c>
      <c r="D74">
        <v>2</v>
      </c>
      <c r="E74">
        <v>729</v>
      </c>
      <c r="F74">
        <f t="shared" si="2"/>
        <v>800</v>
      </c>
      <c r="G74" s="7">
        <f t="shared" si="3"/>
        <v>0.54869684499314131</v>
      </c>
    </row>
    <row r="75" spans="1:7" x14ac:dyDescent="0.25">
      <c r="A75" s="2">
        <v>45731</v>
      </c>
      <c r="B75">
        <v>3972</v>
      </c>
      <c r="C75">
        <v>396</v>
      </c>
      <c r="D75">
        <v>6</v>
      </c>
      <c r="E75">
        <v>662</v>
      </c>
      <c r="F75">
        <f t="shared" si="2"/>
        <v>1596</v>
      </c>
      <c r="G75" s="7">
        <f t="shared" si="3"/>
        <v>0.40181268882175225</v>
      </c>
    </row>
    <row r="76" spans="1:7" x14ac:dyDescent="0.25">
      <c r="A76" s="2">
        <v>45732</v>
      </c>
      <c r="B76">
        <v>46818</v>
      </c>
      <c r="C76">
        <v>327</v>
      </c>
      <c r="D76">
        <v>54</v>
      </c>
      <c r="E76">
        <v>867</v>
      </c>
      <c r="F76">
        <f t="shared" si="2"/>
        <v>29160</v>
      </c>
      <c r="G76" s="7">
        <f t="shared" si="3"/>
        <v>0.62283737024221453</v>
      </c>
    </row>
    <row r="77" spans="1:7" x14ac:dyDescent="0.25">
      <c r="A77" s="2">
        <v>45733</v>
      </c>
      <c r="B77">
        <v>3964</v>
      </c>
      <c r="C77">
        <v>363</v>
      </c>
      <c r="D77">
        <v>4</v>
      </c>
      <c r="E77">
        <v>991</v>
      </c>
      <c r="F77">
        <f t="shared" si="2"/>
        <v>2512</v>
      </c>
      <c r="G77" s="7">
        <f t="shared" si="3"/>
        <v>0.63370332996972756</v>
      </c>
    </row>
    <row r="78" spans="1:7" x14ac:dyDescent="0.25">
      <c r="A78" s="2">
        <v>45734</v>
      </c>
      <c r="B78">
        <v>32454</v>
      </c>
      <c r="C78">
        <v>396</v>
      </c>
      <c r="D78">
        <v>54</v>
      </c>
      <c r="E78">
        <v>601</v>
      </c>
      <c r="F78">
        <f t="shared" si="2"/>
        <v>11070</v>
      </c>
      <c r="G78" s="7">
        <f t="shared" si="3"/>
        <v>0.34109816971713808</v>
      </c>
    </row>
    <row r="79" spans="1:7" x14ac:dyDescent="0.25">
      <c r="A79" s="2">
        <v>45735</v>
      </c>
      <c r="B79">
        <v>75981</v>
      </c>
      <c r="C79">
        <v>368</v>
      </c>
      <c r="D79">
        <v>93</v>
      </c>
      <c r="E79">
        <v>817</v>
      </c>
      <c r="F79">
        <f t="shared" si="2"/>
        <v>41757</v>
      </c>
      <c r="G79" s="7">
        <f t="shared" si="3"/>
        <v>0.54957160342717259</v>
      </c>
    </row>
    <row r="80" spans="1:7" x14ac:dyDescent="0.25">
      <c r="A80" s="2">
        <v>45736</v>
      </c>
      <c r="B80">
        <v>53172</v>
      </c>
      <c r="C80">
        <v>360</v>
      </c>
      <c r="D80">
        <v>63</v>
      </c>
      <c r="E80">
        <v>844</v>
      </c>
      <c r="F80">
        <f t="shared" si="2"/>
        <v>30492</v>
      </c>
      <c r="G80" s="7">
        <f t="shared" si="3"/>
        <v>0.57345971563981046</v>
      </c>
    </row>
    <row r="81" spans="1:7" x14ac:dyDescent="0.25">
      <c r="A81" s="2">
        <v>45737</v>
      </c>
      <c r="B81">
        <v>16830</v>
      </c>
      <c r="C81">
        <v>347</v>
      </c>
      <c r="D81">
        <v>18</v>
      </c>
      <c r="E81">
        <v>935</v>
      </c>
      <c r="F81">
        <f t="shared" si="2"/>
        <v>10584</v>
      </c>
      <c r="G81" s="7">
        <f t="shared" si="3"/>
        <v>0.62887700534759361</v>
      </c>
    </row>
    <row r="82" spans="1:7" x14ac:dyDescent="0.25">
      <c r="A82" s="2">
        <v>45738</v>
      </c>
      <c r="B82">
        <v>84240</v>
      </c>
      <c r="C82">
        <v>318</v>
      </c>
      <c r="D82">
        <v>90</v>
      </c>
      <c r="E82">
        <v>936</v>
      </c>
      <c r="F82">
        <f t="shared" si="2"/>
        <v>55620</v>
      </c>
      <c r="G82" s="7">
        <f t="shared" si="3"/>
        <v>0.66025641025641024</v>
      </c>
    </row>
    <row r="83" spans="1:7" x14ac:dyDescent="0.25">
      <c r="A83" s="2">
        <v>45739</v>
      </c>
      <c r="B83">
        <v>29128</v>
      </c>
      <c r="C83">
        <v>303</v>
      </c>
      <c r="D83">
        <v>44</v>
      </c>
      <c r="E83">
        <v>662</v>
      </c>
      <c r="F83">
        <f t="shared" si="2"/>
        <v>15796</v>
      </c>
      <c r="G83" s="7">
        <f t="shared" si="3"/>
        <v>0.54229607250755285</v>
      </c>
    </row>
    <row r="84" spans="1:7" x14ac:dyDescent="0.25">
      <c r="A84" s="2">
        <v>45740</v>
      </c>
      <c r="B84">
        <v>22100</v>
      </c>
      <c r="C84">
        <v>334</v>
      </c>
      <c r="D84">
        <v>34</v>
      </c>
      <c r="E84">
        <v>650</v>
      </c>
      <c r="F84">
        <f t="shared" si="2"/>
        <v>10744</v>
      </c>
      <c r="G84" s="7">
        <f t="shared" si="3"/>
        <v>0.48615384615384616</v>
      </c>
    </row>
    <row r="85" spans="1:7" x14ac:dyDescent="0.25">
      <c r="A85" s="2">
        <v>45741</v>
      </c>
      <c r="B85">
        <v>48988</v>
      </c>
      <c r="C85">
        <v>363</v>
      </c>
      <c r="D85">
        <v>74</v>
      </c>
      <c r="E85">
        <v>662</v>
      </c>
      <c r="F85">
        <f t="shared" si="2"/>
        <v>22126</v>
      </c>
      <c r="G85" s="7">
        <f t="shared" si="3"/>
        <v>0.45166163141993959</v>
      </c>
    </row>
    <row r="86" spans="1:7" x14ac:dyDescent="0.25">
      <c r="A86" s="2">
        <v>45742</v>
      </c>
      <c r="B86">
        <v>61318</v>
      </c>
      <c r="C86">
        <v>348</v>
      </c>
      <c r="D86">
        <v>62</v>
      </c>
      <c r="E86">
        <v>989</v>
      </c>
      <c r="F86">
        <f t="shared" si="2"/>
        <v>39742</v>
      </c>
      <c r="G86" s="7">
        <f t="shared" si="3"/>
        <v>0.64812942366026294</v>
      </c>
    </row>
    <row r="87" spans="1:7" x14ac:dyDescent="0.25">
      <c r="A87" s="2">
        <v>45743</v>
      </c>
      <c r="B87">
        <v>63000</v>
      </c>
      <c r="C87">
        <v>316</v>
      </c>
      <c r="D87">
        <v>100</v>
      </c>
      <c r="E87">
        <v>630</v>
      </c>
      <c r="F87">
        <f t="shared" si="2"/>
        <v>31400</v>
      </c>
      <c r="G87" s="7">
        <f t="shared" si="3"/>
        <v>0.49841269841269842</v>
      </c>
    </row>
    <row r="88" spans="1:7" x14ac:dyDescent="0.25">
      <c r="A88" s="2">
        <v>45744</v>
      </c>
      <c r="B88">
        <v>10304</v>
      </c>
      <c r="C88">
        <v>343</v>
      </c>
      <c r="D88">
        <v>14</v>
      </c>
      <c r="E88">
        <v>736</v>
      </c>
      <c r="F88">
        <f t="shared" si="2"/>
        <v>5502</v>
      </c>
      <c r="G88" s="7">
        <f t="shared" si="3"/>
        <v>0.53396739130434778</v>
      </c>
    </row>
    <row r="89" spans="1:7" x14ac:dyDescent="0.25">
      <c r="A89" s="2">
        <v>45745</v>
      </c>
      <c r="B89">
        <v>62890</v>
      </c>
      <c r="C89">
        <v>391</v>
      </c>
      <c r="D89">
        <v>95</v>
      </c>
      <c r="E89">
        <v>662</v>
      </c>
      <c r="F89">
        <f t="shared" si="2"/>
        <v>25745</v>
      </c>
      <c r="G89" s="7">
        <f t="shared" si="3"/>
        <v>0.40936555891238668</v>
      </c>
    </row>
    <row r="90" spans="1:7" x14ac:dyDescent="0.25">
      <c r="A90" s="2">
        <v>45746</v>
      </c>
      <c r="B90">
        <v>26448</v>
      </c>
      <c r="C90">
        <v>329</v>
      </c>
      <c r="D90">
        <v>48</v>
      </c>
      <c r="E90">
        <v>551</v>
      </c>
      <c r="F90">
        <f t="shared" si="2"/>
        <v>10656</v>
      </c>
      <c r="G90" s="7">
        <f t="shared" si="3"/>
        <v>0.4029038112522686</v>
      </c>
    </row>
    <row r="91" spans="1:7" x14ac:dyDescent="0.25">
      <c r="A91" s="2">
        <v>45747</v>
      </c>
      <c r="B91">
        <v>10185</v>
      </c>
      <c r="C91">
        <v>392</v>
      </c>
      <c r="D91">
        <v>15</v>
      </c>
      <c r="E91">
        <v>679</v>
      </c>
      <c r="F91">
        <f t="shared" si="2"/>
        <v>4305</v>
      </c>
      <c r="G91" s="7">
        <f t="shared" si="3"/>
        <v>0.42268041237113402</v>
      </c>
    </row>
    <row r="92" spans="1:7" x14ac:dyDescent="0.25">
      <c r="A92" s="2">
        <v>45748</v>
      </c>
      <c r="B92">
        <v>55368</v>
      </c>
      <c r="C92">
        <v>345</v>
      </c>
      <c r="D92">
        <v>72</v>
      </c>
      <c r="E92">
        <v>769</v>
      </c>
      <c r="F92">
        <f t="shared" si="2"/>
        <v>30528</v>
      </c>
      <c r="G92" s="7">
        <f t="shared" si="3"/>
        <v>0.55136540962288683</v>
      </c>
    </row>
    <row r="93" spans="1:7" x14ac:dyDescent="0.25">
      <c r="A93" s="2">
        <v>45749</v>
      </c>
      <c r="B93">
        <v>47034</v>
      </c>
      <c r="C93">
        <v>305</v>
      </c>
      <c r="D93">
        <v>78</v>
      </c>
      <c r="E93">
        <v>603</v>
      </c>
      <c r="F93">
        <f t="shared" si="2"/>
        <v>23244</v>
      </c>
      <c r="G93" s="7">
        <f t="shared" si="3"/>
        <v>0.494195688225539</v>
      </c>
    </row>
    <row r="94" spans="1:7" x14ac:dyDescent="0.25">
      <c r="A94" s="2">
        <v>45750</v>
      </c>
      <c r="B94">
        <v>77604</v>
      </c>
      <c r="C94">
        <v>398</v>
      </c>
      <c r="D94">
        <v>87</v>
      </c>
      <c r="E94">
        <v>892</v>
      </c>
      <c r="F94">
        <f t="shared" si="2"/>
        <v>42978</v>
      </c>
      <c r="G94" s="7">
        <f t="shared" si="3"/>
        <v>0.55381165919282516</v>
      </c>
    </row>
    <row r="95" spans="1:7" x14ac:dyDescent="0.25">
      <c r="A95" s="2">
        <v>45751</v>
      </c>
      <c r="B95">
        <v>47926</v>
      </c>
      <c r="C95">
        <v>336</v>
      </c>
      <c r="D95">
        <v>62</v>
      </c>
      <c r="E95">
        <v>773</v>
      </c>
      <c r="F95">
        <f t="shared" si="2"/>
        <v>27094</v>
      </c>
      <c r="G95" s="7">
        <f t="shared" si="3"/>
        <v>0.56532988357050451</v>
      </c>
    </row>
    <row r="96" spans="1:7" x14ac:dyDescent="0.25">
      <c r="A96" s="2">
        <v>45752</v>
      </c>
      <c r="B96">
        <v>30960</v>
      </c>
      <c r="C96">
        <v>323</v>
      </c>
      <c r="D96">
        <v>40</v>
      </c>
      <c r="E96">
        <v>774</v>
      </c>
      <c r="F96">
        <f t="shared" si="2"/>
        <v>18040</v>
      </c>
      <c r="G96" s="7">
        <f t="shared" si="3"/>
        <v>0.58268733850129195</v>
      </c>
    </row>
    <row r="97" spans="1:7" x14ac:dyDescent="0.25">
      <c r="A97" s="2">
        <v>45753</v>
      </c>
      <c r="B97">
        <v>79390</v>
      </c>
      <c r="C97">
        <v>392</v>
      </c>
      <c r="D97">
        <v>85</v>
      </c>
      <c r="E97">
        <v>934</v>
      </c>
      <c r="F97">
        <f t="shared" si="2"/>
        <v>46070</v>
      </c>
      <c r="G97" s="7">
        <f t="shared" si="3"/>
        <v>0.58029978586723774</v>
      </c>
    </row>
    <row r="98" spans="1:7" x14ac:dyDescent="0.25">
      <c r="A98" s="2">
        <v>45754</v>
      </c>
      <c r="B98">
        <v>76160</v>
      </c>
      <c r="C98">
        <v>345</v>
      </c>
      <c r="D98">
        <v>80</v>
      </c>
      <c r="E98">
        <v>952</v>
      </c>
      <c r="F98">
        <f t="shared" si="2"/>
        <v>48560</v>
      </c>
      <c r="G98" s="7">
        <f t="shared" si="3"/>
        <v>0.63760504201680668</v>
      </c>
    </row>
    <row r="99" spans="1:7" x14ac:dyDescent="0.25">
      <c r="A99" s="2">
        <v>45755</v>
      </c>
      <c r="B99">
        <v>55350</v>
      </c>
      <c r="C99">
        <v>352</v>
      </c>
      <c r="D99">
        <v>82</v>
      </c>
      <c r="E99">
        <v>675</v>
      </c>
      <c r="F99">
        <f t="shared" si="2"/>
        <v>26486</v>
      </c>
      <c r="G99" s="7">
        <f t="shared" si="3"/>
        <v>0.47851851851851851</v>
      </c>
    </row>
    <row r="100" spans="1:7" x14ac:dyDescent="0.25">
      <c r="A100" s="2">
        <v>45756</v>
      </c>
      <c r="B100">
        <v>35987</v>
      </c>
      <c r="C100">
        <v>394</v>
      </c>
      <c r="D100">
        <v>53</v>
      </c>
      <c r="E100">
        <v>679</v>
      </c>
      <c r="F100">
        <f t="shared" si="2"/>
        <v>15105</v>
      </c>
      <c r="G100" s="7">
        <f t="shared" si="3"/>
        <v>0.41973490427098675</v>
      </c>
    </row>
    <row r="101" spans="1:7" x14ac:dyDescent="0.25">
      <c r="A101" s="2">
        <v>45757</v>
      </c>
      <c r="B101">
        <v>14448</v>
      </c>
      <c r="C101">
        <v>398</v>
      </c>
      <c r="D101">
        <v>24</v>
      </c>
      <c r="E101">
        <v>602</v>
      </c>
      <c r="F101">
        <f t="shared" si="2"/>
        <v>4896</v>
      </c>
      <c r="G101" s="7">
        <f t="shared" si="3"/>
        <v>0.33887043189368771</v>
      </c>
    </row>
    <row r="102" spans="1:7" x14ac:dyDescent="0.25">
      <c r="A102" s="2">
        <v>45758</v>
      </c>
      <c r="B102">
        <v>18746</v>
      </c>
      <c r="C102">
        <v>359</v>
      </c>
      <c r="D102">
        <v>26</v>
      </c>
      <c r="E102">
        <v>721</v>
      </c>
      <c r="F102">
        <f t="shared" si="2"/>
        <v>9412</v>
      </c>
      <c r="G102" s="7">
        <f t="shared" si="3"/>
        <v>0.50208044382801664</v>
      </c>
    </row>
    <row r="103" spans="1:7" x14ac:dyDescent="0.25">
      <c r="A103" s="2">
        <v>45759</v>
      </c>
      <c r="B103">
        <v>68263</v>
      </c>
      <c r="C103">
        <v>396</v>
      </c>
      <c r="D103">
        <v>89</v>
      </c>
      <c r="E103">
        <v>767</v>
      </c>
      <c r="F103">
        <f t="shared" si="2"/>
        <v>33019</v>
      </c>
      <c r="G103" s="7">
        <f t="shared" si="3"/>
        <v>0.48370273794002605</v>
      </c>
    </row>
    <row r="104" spans="1:7" x14ac:dyDescent="0.25">
      <c r="A104" s="2">
        <v>45760</v>
      </c>
      <c r="B104">
        <v>42540</v>
      </c>
      <c r="C104">
        <v>362</v>
      </c>
      <c r="D104">
        <v>60</v>
      </c>
      <c r="E104">
        <v>709</v>
      </c>
      <c r="F104">
        <f t="shared" si="2"/>
        <v>20820</v>
      </c>
      <c r="G104" s="7">
        <f t="shared" si="3"/>
        <v>0.48942172073342738</v>
      </c>
    </row>
    <row r="105" spans="1:7" x14ac:dyDescent="0.25">
      <c r="A105" s="2">
        <v>45761</v>
      </c>
      <c r="B105">
        <v>30627</v>
      </c>
      <c r="C105">
        <v>384</v>
      </c>
      <c r="D105">
        <v>41</v>
      </c>
      <c r="E105">
        <v>747</v>
      </c>
      <c r="F105">
        <f t="shared" si="2"/>
        <v>14883</v>
      </c>
      <c r="G105" s="7">
        <f t="shared" si="3"/>
        <v>0.4859437751004016</v>
      </c>
    </row>
    <row r="106" spans="1:7" x14ac:dyDescent="0.25">
      <c r="A106" s="2">
        <v>45762</v>
      </c>
      <c r="B106">
        <v>27985</v>
      </c>
      <c r="C106">
        <v>331</v>
      </c>
      <c r="D106">
        <v>29</v>
      </c>
      <c r="E106">
        <v>965</v>
      </c>
      <c r="F106">
        <f t="shared" si="2"/>
        <v>18386</v>
      </c>
      <c r="G106" s="7">
        <f t="shared" si="3"/>
        <v>0.6569948186528497</v>
      </c>
    </row>
    <row r="107" spans="1:7" x14ac:dyDescent="0.25">
      <c r="A107" s="2">
        <v>45763</v>
      </c>
      <c r="B107">
        <v>11940</v>
      </c>
      <c r="C107">
        <v>386</v>
      </c>
      <c r="D107">
        <v>15</v>
      </c>
      <c r="E107">
        <v>796</v>
      </c>
      <c r="F107">
        <f t="shared" si="2"/>
        <v>6150</v>
      </c>
      <c r="G107" s="7">
        <f t="shared" si="3"/>
        <v>0.51507537688442206</v>
      </c>
    </row>
    <row r="108" spans="1:7" x14ac:dyDescent="0.25">
      <c r="A108" s="2">
        <v>45764</v>
      </c>
      <c r="B108">
        <v>39285</v>
      </c>
      <c r="C108">
        <v>332</v>
      </c>
      <c r="D108">
        <v>45</v>
      </c>
      <c r="E108">
        <v>873</v>
      </c>
      <c r="F108">
        <f t="shared" si="2"/>
        <v>24345</v>
      </c>
      <c r="G108" s="7">
        <f t="shared" si="3"/>
        <v>0.61970217640320735</v>
      </c>
    </row>
    <row r="109" spans="1:7" x14ac:dyDescent="0.25">
      <c r="A109" s="2">
        <v>45765</v>
      </c>
      <c r="B109">
        <v>64220</v>
      </c>
      <c r="C109">
        <v>366</v>
      </c>
      <c r="D109">
        <v>65</v>
      </c>
      <c r="E109">
        <v>988</v>
      </c>
      <c r="F109">
        <f t="shared" si="2"/>
        <v>40430</v>
      </c>
      <c r="G109" s="7">
        <f t="shared" si="3"/>
        <v>0.62955465587044535</v>
      </c>
    </row>
    <row r="110" spans="1:7" x14ac:dyDescent="0.25">
      <c r="A110" s="2">
        <v>45766</v>
      </c>
      <c r="B110">
        <v>66928</v>
      </c>
      <c r="C110">
        <v>317</v>
      </c>
      <c r="D110">
        <v>89</v>
      </c>
      <c r="E110">
        <v>752</v>
      </c>
      <c r="F110">
        <f t="shared" si="2"/>
        <v>38715</v>
      </c>
      <c r="G110" s="7">
        <f t="shared" si="3"/>
        <v>0.57845744680851063</v>
      </c>
    </row>
    <row r="111" spans="1:7" x14ac:dyDescent="0.25">
      <c r="A111" s="2">
        <v>45767</v>
      </c>
      <c r="B111">
        <v>52043</v>
      </c>
      <c r="C111">
        <v>324</v>
      </c>
      <c r="D111">
        <v>71</v>
      </c>
      <c r="E111">
        <v>733</v>
      </c>
      <c r="F111">
        <f t="shared" si="2"/>
        <v>29039</v>
      </c>
      <c r="G111" s="7">
        <f t="shared" si="3"/>
        <v>0.55798090040927695</v>
      </c>
    </row>
    <row r="112" spans="1:7" x14ac:dyDescent="0.25">
      <c r="A112" s="2">
        <v>45768</v>
      </c>
      <c r="B112">
        <v>6048</v>
      </c>
      <c r="C112">
        <v>394</v>
      </c>
      <c r="D112">
        <v>9</v>
      </c>
      <c r="E112">
        <v>672</v>
      </c>
      <c r="F112">
        <f t="shared" si="2"/>
        <v>2502</v>
      </c>
      <c r="G112" s="7">
        <f t="shared" si="3"/>
        <v>0.41369047619047616</v>
      </c>
    </row>
    <row r="113" spans="1:7" x14ac:dyDescent="0.25">
      <c r="A113" s="2">
        <v>45769</v>
      </c>
      <c r="B113">
        <v>83600</v>
      </c>
      <c r="C113">
        <v>353</v>
      </c>
      <c r="D113">
        <v>88</v>
      </c>
      <c r="E113">
        <v>950</v>
      </c>
      <c r="F113">
        <f t="shared" si="2"/>
        <v>52536</v>
      </c>
      <c r="G113" s="7">
        <f t="shared" si="3"/>
        <v>0.62842105263157899</v>
      </c>
    </row>
    <row r="114" spans="1:7" x14ac:dyDescent="0.25">
      <c r="A114" s="2">
        <v>45770</v>
      </c>
      <c r="B114">
        <v>804</v>
      </c>
      <c r="C114">
        <v>357</v>
      </c>
      <c r="D114">
        <v>1</v>
      </c>
      <c r="E114">
        <v>804</v>
      </c>
      <c r="F114">
        <f t="shared" si="2"/>
        <v>447</v>
      </c>
      <c r="G114" s="7">
        <f t="shared" si="3"/>
        <v>0.55597014925373134</v>
      </c>
    </row>
    <row r="115" spans="1:7" x14ac:dyDescent="0.25">
      <c r="A115" s="2">
        <v>45771</v>
      </c>
      <c r="B115">
        <v>6744</v>
      </c>
      <c r="C115">
        <v>366</v>
      </c>
      <c r="D115">
        <v>8</v>
      </c>
      <c r="E115">
        <v>843</v>
      </c>
      <c r="F115">
        <f t="shared" si="2"/>
        <v>3816</v>
      </c>
      <c r="G115" s="7">
        <f t="shared" si="3"/>
        <v>0.5658362989323843</v>
      </c>
    </row>
    <row r="116" spans="1:7" x14ac:dyDescent="0.25">
      <c r="A116" s="2">
        <v>45772</v>
      </c>
      <c r="B116">
        <v>72952</v>
      </c>
      <c r="C116">
        <v>345</v>
      </c>
      <c r="D116">
        <v>88</v>
      </c>
      <c r="E116">
        <v>829</v>
      </c>
      <c r="F116">
        <f t="shared" si="2"/>
        <v>42592</v>
      </c>
      <c r="G116" s="7">
        <f t="shared" si="3"/>
        <v>0.58383594692400487</v>
      </c>
    </row>
    <row r="117" spans="1:7" x14ac:dyDescent="0.25">
      <c r="A117" s="2">
        <v>45773</v>
      </c>
      <c r="B117">
        <v>55062</v>
      </c>
      <c r="C117">
        <v>323</v>
      </c>
      <c r="D117">
        <v>63</v>
      </c>
      <c r="E117">
        <v>874</v>
      </c>
      <c r="F117">
        <f t="shared" si="2"/>
        <v>34713</v>
      </c>
      <c r="G117" s="7">
        <f t="shared" si="3"/>
        <v>0.63043478260869568</v>
      </c>
    </row>
    <row r="118" spans="1:7" x14ac:dyDescent="0.25">
      <c r="A118" s="2">
        <v>45774</v>
      </c>
      <c r="B118">
        <v>10131</v>
      </c>
      <c r="C118">
        <v>331</v>
      </c>
      <c r="D118">
        <v>11</v>
      </c>
      <c r="E118">
        <v>921</v>
      </c>
      <c r="F118">
        <f t="shared" si="2"/>
        <v>6490</v>
      </c>
      <c r="G118" s="7">
        <f t="shared" si="3"/>
        <v>0.64060803474484251</v>
      </c>
    </row>
    <row r="119" spans="1:7" x14ac:dyDescent="0.25">
      <c r="A119" s="2">
        <v>45775</v>
      </c>
      <c r="B119">
        <v>52407</v>
      </c>
      <c r="C119">
        <v>346</v>
      </c>
      <c r="D119">
        <v>81</v>
      </c>
      <c r="E119">
        <v>647</v>
      </c>
      <c r="F119">
        <f t="shared" si="2"/>
        <v>24381</v>
      </c>
      <c r="G119" s="7">
        <f t="shared" si="3"/>
        <v>0.46522411128284391</v>
      </c>
    </row>
    <row r="120" spans="1:7" x14ac:dyDescent="0.25">
      <c r="A120" s="2">
        <v>45776</v>
      </c>
      <c r="B120">
        <v>5976</v>
      </c>
      <c r="C120">
        <v>385</v>
      </c>
      <c r="D120">
        <v>8</v>
      </c>
      <c r="E120">
        <v>747</v>
      </c>
      <c r="F120">
        <f t="shared" si="2"/>
        <v>2896</v>
      </c>
      <c r="G120" s="7">
        <f t="shared" si="3"/>
        <v>0.48460508701472554</v>
      </c>
    </row>
    <row r="121" spans="1:7" x14ac:dyDescent="0.25">
      <c r="A121" s="2">
        <v>45777</v>
      </c>
      <c r="B121">
        <v>33040</v>
      </c>
      <c r="C121">
        <v>322</v>
      </c>
      <c r="D121">
        <v>35</v>
      </c>
      <c r="E121">
        <v>944</v>
      </c>
      <c r="F121">
        <f t="shared" si="2"/>
        <v>21770</v>
      </c>
      <c r="G121" s="7">
        <f t="shared" si="3"/>
        <v>0.65889830508474578</v>
      </c>
    </row>
    <row r="122" spans="1:7" x14ac:dyDescent="0.25">
      <c r="A122" s="2">
        <v>45778</v>
      </c>
      <c r="B122">
        <v>27615</v>
      </c>
      <c r="C122">
        <v>365</v>
      </c>
      <c r="D122">
        <v>35</v>
      </c>
      <c r="E122">
        <v>789</v>
      </c>
      <c r="F122">
        <f t="shared" si="2"/>
        <v>14840</v>
      </c>
      <c r="G122" s="7">
        <f t="shared" si="3"/>
        <v>0.53738910012674268</v>
      </c>
    </row>
    <row r="123" spans="1:7" x14ac:dyDescent="0.25">
      <c r="A123" s="2">
        <v>45779</v>
      </c>
      <c r="B123">
        <v>22869</v>
      </c>
      <c r="C123">
        <v>326</v>
      </c>
      <c r="D123">
        <v>33</v>
      </c>
      <c r="E123">
        <v>693</v>
      </c>
      <c r="F123">
        <f t="shared" si="2"/>
        <v>12111</v>
      </c>
      <c r="G123" s="7">
        <f t="shared" si="3"/>
        <v>0.5295815295815296</v>
      </c>
    </row>
    <row r="124" spans="1:7" x14ac:dyDescent="0.25">
      <c r="A124" s="2">
        <v>45780</v>
      </c>
      <c r="B124">
        <v>3230</v>
      </c>
      <c r="C124">
        <v>301</v>
      </c>
      <c r="D124">
        <v>5</v>
      </c>
      <c r="E124">
        <v>646</v>
      </c>
      <c r="F124">
        <f t="shared" si="2"/>
        <v>1725</v>
      </c>
      <c r="G124" s="7">
        <f t="shared" si="3"/>
        <v>0.53405572755417952</v>
      </c>
    </row>
    <row r="125" spans="1:7" x14ac:dyDescent="0.25">
      <c r="A125" s="2">
        <v>45781</v>
      </c>
      <c r="B125">
        <v>30750</v>
      </c>
      <c r="C125">
        <v>389</v>
      </c>
      <c r="D125">
        <v>41</v>
      </c>
      <c r="E125">
        <v>750</v>
      </c>
      <c r="F125">
        <f t="shared" si="2"/>
        <v>14801</v>
      </c>
      <c r="G125" s="7">
        <f t="shared" si="3"/>
        <v>0.48133333333333334</v>
      </c>
    </row>
    <row r="126" spans="1:7" x14ac:dyDescent="0.25">
      <c r="A126" s="2">
        <v>45782</v>
      </c>
      <c r="B126">
        <v>18844</v>
      </c>
      <c r="C126">
        <v>316</v>
      </c>
      <c r="D126">
        <v>28</v>
      </c>
      <c r="E126">
        <v>673</v>
      </c>
      <c r="F126">
        <f t="shared" si="2"/>
        <v>9996</v>
      </c>
      <c r="G126" s="7">
        <f t="shared" si="3"/>
        <v>0.53046062407132244</v>
      </c>
    </row>
    <row r="127" spans="1:7" x14ac:dyDescent="0.25">
      <c r="A127" s="2">
        <v>45783</v>
      </c>
      <c r="B127">
        <v>5152</v>
      </c>
      <c r="C127">
        <v>332</v>
      </c>
      <c r="D127">
        <v>7</v>
      </c>
      <c r="E127">
        <v>736</v>
      </c>
      <c r="F127">
        <f t="shared" si="2"/>
        <v>2828</v>
      </c>
      <c r="G127" s="7">
        <f t="shared" si="3"/>
        <v>0.54891304347826086</v>
      </c>
    </row>
    <row r="128" spans="1:7" x14ac:dyDescent="0.25">
      <c r="A128" s="2">
        <v>45784</v>
      </c>
      <c r="B128">
        <v>63875</v>
      </c>
      <c r="C128">
        <v>308</v>
      </c>
      <c r="D128">
        <v>73</v>
      </c>
      <c r="E128">
        <v>875</v>
      </c>
      <c r="F128">
        <f t="shared" si="2"/>
        <v>41391</v>
      </c>
      <c r="G128" s="7">
        <f t="shared" si="3"/>
        <v>0.64800000000000002</v>
      </c>
    </row>
    <row r="129" spans="1:7" x14ac:dyDescent="0.25">
      <c r="A129" s="2">
        <v>45785</v>
      </c>
      <c r="B129">
        <v>64656</v>
      </c>
      <c r="C129">
        <v>342</v>
      </c>
      <c r="D129">
        <v>72</v>
      </c>
      <c r="E129">
        <v>898</v>
      </c>
      <c r="F129">
        <f t="shared" si="2"/>
        <v>40032</v>
      </c>
      <c r="G129" s="7">
        <f t="shared" si="3"/>
        <v>0.61915367483296213</v>
      </c>
    </row>
    <row r="130" spans="1:7" x14ac:dyDescent="0.25">
      <c r="A130" s="2">
        <v>45786</v>
      </c>
      <c r="B130">
        <v>9696</v>
      </c>
      <c r="C130">
        <v>347</v>
      </c>
      <c r="D130">
        <v>12</v>
      </c>
      <c r="E130">
        <v>808</v>
      </c>
      <c r="F130">
        <f t="shared" si="2"/>
        <v>5532</v>
      </c>
      <c r="G130" s="7">
        <f t="shared" si="3"/>
        <v>0.5705445544554455</v>
      </c>
    </row>
    <row r="131" spans="1:7" x14ac:dyDescent="0.25">
      <c r="A131" s="2">
        <v>45787</v>
      </c>
      <c r="B131">
        <v>23698</v>
      </c>
      <c r="C131">
        <v>338</v>
      </c>
      <c r="D131">
        <v>34</v>
      </c>
      <c r="E131">
        <v>697</v>
      </c>
      <c r="F131">
        <f t="shared" ref="F131:F152" si="4">(E131 - C131) * D131</f>
        <v>12206</v>
      </c>
      <c r="G131" s="7">
        <f t="shared" ref="G131:G152" si="5" xml:space="preserve"> F131/B131</f>
        <v>0.51506456241032994</v>
      </c>
    </row>
    <row r="132" spans="1:7" x14ac:dyDescent="0.25">
      <c r="A132" s="2">
        <v>45788</v>
      </c>
      <c r="B132">
        <v>26433</v>
      </c>
      <c r="C132">
        <v>392</v>
      </c>
      <c r="D132">
        <v>33</v>
      </c>
      <c r="E132">
        <v>801</v>
      </c>
      <c r="F132">
        <f t="shared" si="4"/>
        <v>13497</v>
      </c>
      <c r="G132" s="7">
        <f t="shared" si="5"/>
        <v>0.51061173533083648</v>
      </c>
    </row>
    <row r="133" spans="1:7" x14ac:dyDescent="0.25">
      <c r="A133" s="2">
        <v>45789</v>
      </c>
      <c r="B133">
        <v>47616</v>
      </c>
      <c r="C133">
        <v>341</v>
      </c>
      <c r="D133">
        <v>48</v>
      </c>
      <c r="E133">
        <v>992</v>
      </c>
      <c r="F133">
        <f t="shared" si="4"/>
        <v>31248</v>
      </c>
      <c r="G133" s="7">
        <f t="shared" si="5"/>
        <v>0.65625</v>
      </c>
    </row>
    <row r="134" spans="1:7" x14ac:dyDescent="0.25">
      <c r="A134" s="2">
        <v>45790</v>
      </c>
      <c r="B134">
        <v>22287</v>
      </c>
      <c r="C134">
        <v>325</v>
      </c>
      <c r="D134">
        <v>23</v>
      </c>
      <c r="E134">
        <v>969</v>
      </c>
      <c r="F134">
        <f t="shared" si="4"/>
        <v>14812</v>
      </c>
      <c r="G134" s="7">
        <f t="shared" si="5"/>
        <v>0.66460268317853455</v>
      </c>
    </row>
    <row r="135" spans="1:7" x14ac:dyDescent="0.25">
      <c r="A135" s="2">
        <v>45791</v>
      </c>
      <c r="B135">
        <v>59024</v>
      </c>
      <c r="C135">
        <v>398</v>
      </c>
      <c r="D135">
        <v>62</v>
      </c>
      <c r="E135">
        <v>952</v>
      </c>
      <c r="F135">
        <f t="shared" si="4"/>
        <v>34348</v>
      </c>
      <c r="G135" s="7">
        <f t="shared" si="5"/>
        <v>0.58193277310924374</v>
      </c>
    </row>
    <row r="136" spans="1:7" x14ac:dyDescent="0.25">
      <c r="A136" s="2">
        <v>45792</v>
      </c>
      <c r="B136">
        <v>78760</v>
      </c>
      <c r="C136">
        <v>349</v>
      </c>
      <c r="D136">
        <v>88</v>
      </c>
      <c r="E136">
        <v>895</v>
      </c>
      <c r="F136">
        <f t="shared" si="4"/>
        <v>48048</v>
      </c>
      <c r="G136" s="7">
        <f t="shared" si="5"/>
        <v>0.61005586592178773</v>
      </c>
    </row>
    <row r="137" spans="1:7" x14ac:dyDescent="0.25">
      <c r="A137" s="2">
        <v>45793</v>
      </c>
      <c r="B137">
        <v>37000</v>
      </c>
      <c r="C137">
        <v>324</v>
      </c>
      <c r="D137">
        <v>37</v>
      </c>
      <c r="E137">
        <v>1000</v>
      </c>
      <c r="F137">
        <f t="shared" si="4"/>
        <v>25012</v>
      </c>
      <c r="G137" s="7">
        <f t="shared" si="5"/>
        <v>0.67600000000000005</v>
      </c>
    </row>
    <row r="138" spans="1:7" x14ac:dyDescent="0.25">
      <c r="A138" s="2">
        <v>45794</v>
      </c>
      <c r="B138">
        <v>68904</v>
      </c>
      <c r="C138">
        <v>323</v>
      </c>
      <c r="D138">
        <v>99</v>
      </c>
      <c r="E138">
        <v>696</v>
      </c>
      <c r="F138">
        <f t="shared" si="4"/>
        <v>36927</v>
      </c>
      <c r="G138" s="7">
        <f t="shared" si="5"/>
        <v>0.53591954022988508</v>
      </c>
    </row>
    <row r="139" spans="1:7" x14ac:dyDescent="0.25">
      <c r="A139" s="2">
        <v>45795</v>
      </c>
      <c r="B139">
        <v>30668</v>
      </c>
      <c r="C139">
        <v>312</v>
      </c>
      <c r="D139">
        <v>44</v>
      </c>
      <c r="E139">
        <v>697</v>
      </c>
      <c r="F139">
        <f t="shared" si="4"/>
        <v>16940</v>
      </c>
      <c r="G139" s="7">
        <f t="shared" si="5"/>
        <v>0.55236728837876614</v>
      </c>
    </row>
    <row r="140" spans="1:7" x14ac:dyDescent="0.25">
      <c r="A140" s="2">
        <v>45796</v>
      </c>
      <c r="B140">
        <v>77486</v>
      </c>
      <c r="C140">
        <v>359</v>
      </c>
      <c r="D140">
        <v>86</v>
      </c>
      <c r="E140">
        <v>901</v>
      </c>
      <c r="F140">
        <f t="shared" si="4"/>
        <v>46612</v>
      </c>
      <c r="G140" s="7">
        <f t="shared" si="5"/>
        <v>0.60155382907880128</v>
      </c>
    </row>
    <row r="141" spans="1:7" x14ac:dyDescent="0.25">
      <c r="A141" s="2">
        <v>45797</v>
      </c>
      <c r="B141">
        <v>68068</v>
      </c>
      <c r="C141">
        <v>306</v>
      </c>
      <c r="D141">
        <v>91</v>
      </c>
      <c r="E141">
        <v>748</v>
      </c>
      <c r="F141">
        <f t="shared" si="4"/>
        <v>40222</v>
      </c>
      <c r="G141" s="7">
        <f t="shared" si="5"/>
        <v>0.59090909090909094</v>
      </c>
    </row>
    <row r="142" spans="1:7" x14ac:dyDescent="0.25">
      <c r="A142" s="2">
        <v>45798</v>
      </c>
      <c r="B142">
        <v>29995</v>
      </c>
      <c r="C142">
        <v>356</v>
      </c>
      <c r="D142">
        <v>35</v>
      </c>
      <c r="E142">
        <v>857</v>
      </c>
      <c r="F142">
        <f t="shared" si="4"/>
        <v>17535</v>
      </c>
      <c r="G142" s="7">
        <f t="shared" si="5"/>
        <v>0.58459743290548427</v>
      </c>
    </row>
    <row r="143" spans="1:7" x14ac:dyDescent="0.25">
      <c r="A143" s="2">
        <v>45799</v>
      </c>
      <c r="B143">
        <v>62790</v>
      </c>
      <c r="C143">
        <v>335</v>
      </c>
      <c r="D143">
        <v>65</v>
      </c>
      <c r="E143">
        <v>966</v>
      </c>
      <c r="F143">
        <f t="shared" si="4"/>
        <v>41015</v>
      </c>
      <c r="G143" s="7">
        <f t="shared" si="5"/>
        <v>0.65320910973084889</v>
      </c>
    </row>
    <row r="144" spans="1:7" x14ac:dyDescent="0.25">
      <c r="A144" s="2">
        <v>45800</v>
      </c>
      <c r="B144">
        <v>96327</v>
      </c>
      <c r="C144">
        <v>344</v>
      </c>
      <c r="D144">
        <v>99</v>
      </c>
      <c r="E144">
        <v>973</v>
      </c>
      <c r="F144">
        <f t="shared" si="4"/>
        <v>62271</v>
      </c>
      <c r="G144" s="7">
        <f t="shared" si="5"/>
        <v>0.64645426515930116</v>
      </c>
    </row>
    <row r="145" spans="1:7" x14ac:dyDescent="0.25">
      <c r="A145" s="2">
        <v>45801</v>
      </c>
      <c r="B145">
        <v>31819</v>
      </c>
      <c r="C145">
        <v>319</v>
      </c>
      <c r="D145">
        <v>47</v>
      </c>
      <c r="E145">
        <v>677</v>
      </c>
      <c r="F145">
        <f t="shared" si="4"/>
        <v>16826</v>
      </c>
      <c r="G145" s="7">
        <f t="shared" si="5"/>
        <v>0.52880354505169869</v>
      </c>
    </row>
    <row r="146" spans="1:7" x14ac:dyDescent="0.25">
      <c r="A146" s="2">
        <v>45802</v>
      </c>
      <c r="B146">
        <v>45864</v>
      </c>
      <c r="C146">
        <v>364</v>
      </c>
      <c r="D146">
        <v>78</v>
      </c>
      <c r="E146">
        <v>588</v>
      </c>
      <c r="F146">
        <f t="shared" si="4"/>
        <v>17472</v>
      </c>
      <c r="G146" s="7">
        <f t="shared" si="5"/>
        <v>0.38095238095238093</v>
      </c>
    </row>
    <row r="147" spans="1:7" x14ac:dyDescent="0.25">
      <c r="A147" s="2">
        <v>45803</v>
      </c>
      <c r="B147">
        <v>2661</v>
      </c>
      <c r="C147">
        <v>307</v>
      </c>
      <c r="D147">
        <v>3</v>
      </c>
      <c r="E147">
        <v>887</v>
      </c>
      <c r="F147">
        <f t="shared" si="4"/>
        <v>1740</v>
      </c>
      <c r="G147" s="7">
        <f t="shared" si="5"/>
        <v>0.65388951521984218</v>
      </c>
    </row>
    <row r="148" spans="1:7" x14ac:dyDescent="0.25">
      <c r="A148" s="2">
        <v>45804</v>
      </c>
      <c r="B148">
        <v>909</v>
      </c>
      <c r="C148">
        <v>315</v>
      </c>
      <c r="D148">
        <v>1</v>
      </c>
      <c r="E148">
        <v>909</v>
      </c>
      <c r="F148">
        <f t="shared" si="4"/>
        <v>594</v>
      </c>
      <c r="G148" s="7">
        <f t="shared" si="5"/>
        <v>0.65346534653465349</v>
      </c>
    </row>
    <row r="149" spans="1:7" x14ac:dyDescent="0.25">
      <c r="A149" s="2">
        <v>45805</v>
      </c>
      <c r="B149">
        <v>3390</v>
      </c>
      <c r="C149">
        <v>313</v>
      </c>
      <c r="D149">
        <v>5</v>
      </c>
      <c r="E149">
        <v>678</v>
      </c>
      <c r="F149">
        <f t="shared" si="4"/>
        <v>1825</v>
      </c>
      <c r="G149" s="7">
        <f t="shared" si="5"/>
        <v>0.53834808259587019</v>
      </c>
    </row>
    <row r="150" spans="1:7" x14ac:dyDescent="0.25">
      <c r="A150" s="2">
        <v>45806</v>
      </c>
      <c r="B150">
        <v>73440</v>
      </c>
      <c r="C150">
        <v>375</v>
      </c>
      <c r="D150">
        <v>90</v>
      </c>
      <c r="E150">
        <v>816</v>
      </c>
      <c r="F150">
        <f t="shared" si="4"/>
        <v>39690</v>
      </c>
      <c r="G150" s="7">
        <f t="shared" si="5"/>
        <v>0.5404411764705882</v>
      </c>
    </row>
    <row r="151" spans="1:7" x14ac:dyDescent="0.25">
      <c r="A151" s="2">
        <v>45807</v>
      </c>
      <c r="B151">
        <v>13860</v>
      </c>
      <c r="C151">
        <v>386</v>
      </c>
      <c r="D151">
        <v>14</v>
      </c>
      <c r="E151">
        <v>990</v>
      </c>
      <c r="F151">
        <f t="shared" si="4"/>
        <v>8456</v>
      </c>
      <c r="G151" s="7">
        <f t="shared" si="5"/>
        <v>0.61010101010101014</v>
      </c>
    </row>
    <row r="152" spans="1:7" x14ac:dyDescent="0.25">
      <c r="A152" s="2">
        <v>45808</v>
      </c>
      <c r="B152">
        <v>26541</v>
      </c>
      <c r="C152">
        <v>314</v>
      </c>
      <c r="D152">
        <v>27</v>
      </c>
      <c r="E152">
        <v>983</v>
      </c>
      <c r="F152">
        <f t="shared" si="4"/>
        <v>18063</v>
      </c>
      <c r="G152" s="7">
        <f t="shared" si="5"/>
        <v>0.68056968463886058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Rahul Yelma</cp:lastModifiedBy>
  <dcterms:created xsi:type="dcterms:W3CDTF">2026-04-24T14:02:06Z</dcterms:created>
  <dcterms:modified xsi:type="dcterms:W3CDTF">2026-04-26T11:17:23Z</dcterms:modified>
</cp:coreProperties>
</file>